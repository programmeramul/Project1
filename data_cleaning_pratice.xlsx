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m\Desktop\"/>
    </mc:Choice>
  </mc:AlternateContent>
  <xr:revisionPtr revIDLastSave="0" documentId="13_ncr:1_{B16E890D-6718-41FF-915B-41A44080424A}" xr6:coauthVersionLast="47" xr6:coauthVersionMax="47" xr10:uidLastSave="{00000000-0000-0000-0000-000000000000}"/>
  <bookViews>
    <workbookView xWindow="-110" yWindow="-110" windowWidth="19420" windowHeight="11020" activeTab="2" xr2:uid="{8748DDE9-83E9-4B2B-8647-E1AB28740A8C}"/>
  </bookViews>
  <sheets>
    <sheet name="IF" sheetId="1" r:id="rId1"/>
    <sheet name="From Scratch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2" i="4"/>
  <c r="F6" i="4"/>
  <c r="F5" i="4"/>
  <c r="F4" i="4"/>
  <c r="F3" i="4"/>
  <c r="F2" i="4"/>
  <c r="F8" i="3"/>
  <c r="E8" i="3"/>
  <c r="D8" i="3"/>
  <c r="C8" i="3"/>
  <c r="B8" i="3"/>
  <c r="D5" i="1"/>
  <c r="D4" i="1"/>
  <c r="D3" i="1"/>
  <c r="D2" i="1"/>
  <c r="B24" i="1"/>
  <c r="B23" i="1"/>
  <c r="B22" i="1"/>
  <c r="B18" i="1"/>
  <c r="B17" i="1"/>
  <c r="B16" i="1"/>
  <c r="B11" i="1"/>
  <c r="B10" i="1"/>
  <c r="B9" i="1"/>
  <c r="B8" i="1"/>
  <c r="B5" i="1"/>
  <c r="B4" i="1"/>
  <c r="B3" i="1"/>
  <c r="B2" i="1"/>
</calcChain>
</file>

<file path=xl/sharedStrings.xml><?xml version="1.0" encoding="utf-8"?>
<sst xmlns="http://schemas.openxmlformats.org/spreadsheetml/2006/main" count="38" uniqueCount="36">
  <si>
    <t>Marks</t>
  </si>
  <si>
    <t>Purchase Amount</t>
  </si>
  <si>
    <t>Bouns  Calculatiouns</t>
  </si>
  <si>
    <t>Sales</t>
  </si>
  <si>
    <t>Check Empty Cells</t>
  </si>
  <si>
    <t>Rahul</t>
  </si>
  <si>
    <t>Priya</t>
  </si>
  <si>
    <t>Real Analyst  Example</t>
  </si>
  <si>
    <t>Completed</t>
  </si>
  <si>
    <t>Pending</t>
  </si>
  <si>
    <t>In Progress</t>
  </si>
  <si>
    <t>Month</t>
  </si>
  <si>
    <t xml:space="preserve">Sales </t>
  </si>
  <si>
    <t>Expenses</t>
  </si>
  <si>
    <t>Jan</t>
  </si>
  <si>
    <t>Feb</t>
  </si>
  <si>
    <t>March</t>
  </si>
  <si>
    <t>April</t>
  </si>
  <si>
    <t>May</t>
  </si>
  <si>
    <t>June</t>
  </si>
  <si>
    <t>ID</t>
  </si>
  <si>
    <t>CUSTOMER NAME</t>
  </si>
  <si>
    <t>SALES AMOUNT</t>
  </si>
  <si>
    <t>CITY</t>
  </si>
  <si>
    <t>JOIN  DATE</t>
  </si>
  <si>
    <t>john smith</t>
  </si>
  <si>
    <t>new york</t>
  </si>
  <si>
    <t>New York</t>
  </si>
  <si>
    <t>Robert Brown</t>
  </si>
  <si>
    <t>chicago</t>
  </si>
  <si>
    <t>alice white</t>
  </si>
  <si>
    <t>CHICAGO</t>
  </si>
  <si>
    <t>BOB MARTIN</t>
  </si>
  <si>
    <t>CLEAN NAME</t>
  </si>
  <si>
    <t>MARY JONES</t>
  </si>
  <si>
    <t>CLEAN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</si>
</sst>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FAF9F5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6CF00-A354-45CC-B6EB-967AAE69EF13}" name="Table1" displayName="Table1" ref="A1:G7" totalsRowCount="1">
  <autoFilter ref="A1:G6" xr:uid="{7D16CF00-A354-45CC-B6EB-967AAE69EF13}"/>
  <tableColumns count="7">
    <tableColumn id="1" xr3:uid="{973AB751-7205-4E54-97B4-C889F5992A2B}" name="ID"/>
    <tableColumn id="2" xr3:uid="{34BD7DA9-6F7B-4723-90FB-1EC957C0C056}" name="CUSTOMER NAME"/>
    <tableColumn id="3" xr3:uid="{106D688F-BF3E-43CC-9BDB-4651AF479EF5}" name="SALES AMOUNT"/>
    <tableColumn id="4" xr3:uid="{C4E0BB76-5737-49F2-ACC6-4101C5C19189}" name="CITY"/>
    <tableColumn id="5" xr3:uid="{229480F5-FC7B-4C0D-8A25-085197AACCB3}" name="JOIN  DATE" dataDxfId="3" totalsRowDxfId="0"/>
    <tableColumn id="6" xr3:uid="{82E3D2DC-3132-4C0F-AFF6-9D9CF8D633D5}" name="CLEAN NAME" dataDxfId="2">
      <calculatedColumnFormula>PROPER(B2)</calculatedColumnFormula>
    </tableColumn>
    <tableColumn id="10" xr3:uid="{74D2F7C7-6191-43DC-8587-22E63F7E9265}" name="CLEAN CITY" dataDxfId="1">
      <calculatedColumnFormula>PROPER(Table1[[#This Row],[CITY]])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F807-CAF7-407F-A140-7D87C00B0B65}">
  <dimension ref="A1:D24"/>
  <sheetViews>
    <sheetView workbookViewId="0">
      <selection activeCell="D6" sqref="D6"/>
    </sheetView>
  </sheetViews>
  <sheetFormatPr defaultRowHeight="14.5" x14ac:dyDescent="0.35"/>
  <cols>
    <col min="2" max="2" width="10.7265625" customWidth="1"/>
    <col min="3" max="3" width="12.7265625" customWidth="1"/>
  </cols>
  <sheetData>
    <row r="1" spans="1:4" x14ac:dyDescent="0.35">
      <c r="A1" t="s">
        <v>0</v>
      </c>
      <c r="C1" t="s">
        <v>7</v>
      </c>
    </row>
    <row r="2" spans="1:4" x14ac:dyDescent="0.35">
      <c r="A2">
        <v>78</v>
      </c>
      <c r="B2" t="str">
        <f>IF(A2&gt;=50,"Pass","Fail")</f>
        <v>Pass</v>
      </c>
      <c r="C2" t="s">
        <v>8</v>
      </c>
      <c r="D2" t="str">
        <f>IF(C2&lt;&gt;"Completed","Follow Up ","Done")</f>
        <v>Done</v>
      </c>
    </row>
    <row r="3" spans="1:4" x14ac:dyDescent="0.35">
      <c r="A3">
        <v>45</v>
      </c>
      <c r="B3" t="str">
        <f>IF(A3&gt;=50,"Pass","Fail")</f>
        <v>Fail</v>
      </c>
      <c r="C3" t="s">
        <v>9</v>
      </c>
      <c r="D3" t="str">
        <f>IF(C3&lt;&gt;"Completed","Follow up","Done")</f>
        <v>Follow up</v>
      </c>
    </row>
    <row r="4" spans="1:4" x14ac:dyDescent="0.35">
      <c r="A4">
        <v>60</v>
      </c>
      <c r="B4" t="str">
        <f>IF(A4&gt;=50,"Pass","Fail")</f>
        <v>Pass</v>
      </c>
      <c r="C4" t="s">
        <v>8</v>
      </c>
      <c r="D4" t="str">
        <f>IF(C4&lt;&gt;"Completed","Follow Up","Done")</f>
        <v>Done</v>
      </c>
    </row>
    <row r="5" spans="1:4" x14ac:dyDescent="0.35">
      <c r="A5">
        <v>30</v>
      </c>
      <c r="B5" t="str">
        <f>IF(A5&gt;=50,"Pass","Fail")</f>
        <v>Fail</v>
      </c>
      <c r="C5" t="s">
        <v>10</v>
      </c>
      <c r="D5" t="str">
        <f>IF(C5&lt;&gt;"Completed","Follow Up","Done")</f>
        <v>Follow Up</v>
      </c>
    </row>
    <row r="7" spans="1:4" x14ac:dyDescent="0.35">
      <c r="A7" t="s">
        <v>1</v>
      </c>
    </row>
    <row r="8" spans="1:4" x14ac:dyDescent="0.35">
      <c r="A8">
        <v>1200</v>
      </c>
      <c r="B8" t="str">
        <f>IF(A8&gt;=1000,"Discount","No Discount")</f>
        <v>Discount</v>
      </c>
    </row>
    <row r="9" spans="1:4" x14ac:dyDescent="0.35">
      <c r="A9">
        <v>800</v>
      </c>
      <c r="B9" t="str">
        <f>IF(A9&gt;=1000,"Discount","No Discount")</f>
        <v>No Discount</v>
      </c>
    </row>
    <row r="10" spans="1:4" x14ac:dyDescent="0.35">
      <c r="A10">
        <v>2000</v>
      </c>
      <c r="B10" t="str">
        <f>IF(A10&gt;=1000,"Discount","No Discount")</f>
        <v>Discount</v>
      </c>
    </row>
    <row r="11" spans="1:4" x14ac:dyDescent="0.35">
      <c r="A11">
        <v>500</v>
      </c>
      <c r="B11" t="str">
        <f>IF(A11&gt;=1000,"Discount","No Discount")</f>
        <v>No Discount</v>
      </c>
    </row>
    <row r="14" spans="1:4" x14ac:dyDescent="0.35">
      <c r="A14" t="s">
        <v>2</v>
      </c>
    </row>
    <row r="15" spans="1:4" x14ac:dyDescent="0.35">
      <c r="A15" t="s">
        <v>3</v>
      </c>
    </row>
    <row r="16" spans="1:4" x14ac:dyDescent="0.35">
      <c r="A16">
        <v>7000</v>
      </c>
      <c r="B16">
        <f>IF(A16&gt;=5000,A16*10%,A16*5%)</f>
        <v>700</v>
      </c>
    </row>
    <row r="17" spans="1:2" x14ac:dyDescent="0.35">
      <c r="A17">
        <v>3000</v>
      </c>
      <c r="B17">
        <f>IF(A17&gt;=5000,A17*10%,A17*5%)</f>
        <v>150</v>
      </c>
    </row>
    <row r="18" spans="1:2" x14ac:dyDescent="0.35">
      <c r="A18">
        <v>9000</v>
      </c>
      <c r="B18">
        <f>IF(A18&gt;=5000,A18*10%,A18*5%)</f>
        <v>900</v>
      </c>
    </row>
    <row r="21" spans="1:2" x14ac:dyDescent="0.35">
      <c r="A21" t="s">
        <v>4</v>
      </c>
    </row>
    <row r="22" spans="1:2" x14ac:dyDescent="0.35">
      <c r="A22" t="s">
        <v>5</v>
      </c>
      <c r="B22" t="str">
        <f>IF(A22=" ","Missing","Filled")</f>
        <v>Filled</v>
      </c>
    </row>
    <row r="23" spans="1:2" x14ac:dyDescent="0.35">
      <c r="B23" t="str">
        <f>IF(A23&gt;=" ","Filled","Missed")</f>
        <v>Missed</v>
      </c>
    </row>
    <row r="24" spans="1:2" x14ac:dyDescent="0.35">
      <c r="A24" t="s">
        <v>6</v>
      </c>
      <c r="B24" t="str">
        <f>IF(A24&gt;" ","Filled","Missed")</f>
        <v>Filled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DAD7-2D82-4023-895C-4EBCD3AF0D65}">
  <dimension ref="A1:F8"/>
  <sheetViews>
    <sheetView workbookViewId="0">
      <selection activeCell="F9" sqref="F9"/>
    </sheetView>
  </sheetViews>
  <sheetFormatPr defaultRowHeight="14.5" x14ac:dyDescent="0.35"/>
  <sheetData>
    <row r="1" spans="1:6" x14ac:dyDescent="0.35">
      <c r="A1" t="s">
        <v>11</v>
      </c>
      <c r="B1" t="s">
        <v>12</v>
      </c>
      <c r="C1" t="s">
        <v>13</v>
      </c>
    </row>
    <row r="2" spans="1:6" x14ac:dyDescent="0.35">
      <c r="A2" t="s">
        <v>14</v>
      </c>
      <c r="B2">
        <v>1500</v>
      </c>
      <c r="C2">
        <v>8000</v>
      </c>
    </row>
    <row r="3" spans="1:6" x14ac:dyDescent="0.35">
      <c r="A3" t="s">
        <v>15</v>
      </c>
      <c r="B3">
        <v>1800</v>
      </c>
      <c r="C3">
        <v>9500</v>
      </c>
    </row>
    <row r="4" spans="1:6" x14ac:dyDescent="0.35">
      <c r="A4" t="s">
        <v>16</v>
      </c>
      <c r="B4">
        <v>21000</v>
      </c>
      <c r="C4">
        <v>11000</v>
      </c>
    </row>
    <row r="5" spans="1:6" x14ac:dyDescent="0.35">
      <c r="A5" t="s">
        <v>17</v>
      </c>
      <c r="B5">
        <v>17500</v>
      </c>
      <c r="C5">
        <v>8700</v>
      </c>
    </row>
    <row r="6" spans="1:6" x14ac:dyDescent="0.35">
      <c r="A6" t="s">
        <v>18</v>
      </c>
      <c r="B6">
        <v>23000</v>
      </c>
      <c r="C6">
        <v>12000</v>
      </c>
    </row>
    <row r="7" spans="1:6" x14ac:dyDescent="0.35">
      <c r="A7" t="s">
        <v>19</v>
      </c>
      <c r="B7">
        <v>19500</v>
      </c>
      <c r="C7">
        <v>10200</v>
      </c>
    </row>
    <row r="8" spans="1:6" x14ac:dyDescent="0.35">
      <c r="B8">
        <f>SUM(B2:B7)</f>
        <v>84300</v>
      </c>
      <c r="C8">
        <f>AVERAGE(C2:C7)</f>
        <v>9900</v>
      </c>
      <c r="D8">
        <f>MAX(B2:B7)</f>
        <v>23000</v>
      </c>
      <c r="E8">
        <f>MIN(B2:B7)</f>
        <v>1500</v>
      </c>
      <c r="F8">
        <f>SUM(C2:C7)</f>
        <v>59400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E25-5207-4D0A-81FC-E8469B07BB76}">
  <dimension ref="A1:G11"/>
  <sheetViews>
    <sheetView tabSelected="1" workbookViewId="0">
      <selection activeCell="E14" sqref="E14"/>
    </sheetView>
  </sheetViews>
  <sheetFormatPr defaultRowHeight="14.5" x14ac:dyDescent="0.35"/>
  <cols>
    <col min="1" max="1" width="14.90625" customWidth="1"/>
    <col min="2" max="2" width="18.6328125" customWidth="1"/>
    <col min="3" max="3" width="19.81640625" customWidth="1"/>
    <col min="5" max="5" width="13.6328125" customWidth="1"/>
    <col min="6" max="6" width="15.36328125" customWidth="1"/>
    <col min="7" max="7" width="13.1796875" customWidth="1"/>
  </cols>
  <sheetData>
    <row r="1" spans="1:7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33</v>
      </c>
      <c r="G1" t="s">
        <v>35</v>
      </c>
    </row>
    <row r="2" spans="1:7" x14ac:dyDescent="0.35">
      <c r="A2" s="3">
        <v>1</v>
      </c>
      <c r="B2" t="s">
        <v>25</v>
      </c>
      <c r="C2">
        <v>5000</v>
      </c>
      <c r="D2" t="s">
        <v>26</v>
      </c>
      <c r="E2" s="1">
        <v>45306</v>
      </c>
      <c r="F2" t="str">
        <f>PROPER(B2)</f>
        <v>John Smith</v>
      </c>
      <c r="G2" t="str">
        <f>PROPER(Table1[[#This Row],[CITY]])</f>
        <v>New York</v>
      </c>
    </row>
    <row r="3" spans="1:7" x14ac:dyDescent="0.35">
      <c r="A3">
        <v>2</v>
      </c>
      <c r="B3" t="s">
        <v>34</v>
      </c>
      <c r="C3">
        <v>7500</v>
      </c>
      <c r="D3" t="s">
        <v>27</v>
      </c>
      <c r="E3" s="1">
        <v>45306</v>
      </c>
      <c r="F3" t="str">
        <f>PROPER(B3)</f>
        <v>Mary Jones</v>
      </c>
      <c r="G3" t="str">
        <f>PROPER(Table1[[#This Row],[CITY]])</f>
        <v>New York</v>
      </c>
    </row>
    <row r="4" spans="1:7" x14ac:dyDescent="0.35">
      <c r="A4">
        <v>4</v>
      </c>
      <c r="B4" t="s">
        <v>28</v>
      </c>
      <c r="C4">
        <v>0</v>
      </c>
      <c r="D4" t="s">
        <v>29</v>
      </c>
      <c r="E4" s="1">
        <v>45307</v>
      </c>
      <c r="F4" t="str">
        <f>PROPER(B4)</f>
        <v>Robert Brown</v>
      </c>
      <c r="G4" t="str">
        <f>PROPER(Table1[[#This Row],[CITY]])</f>
        <v>Chicago</v>
      </c>
    </row>
    <row r="5" spans="1:7" x14ac:dyDescent="0.35">
      <c r="A5">
        <v>5</v>
      </c>
      <c r="B5" t="s">
        <v>30</v>
      </c>
      <c r="C5">
        <v>3000</v>
      </c>
      <c r="D5" t="s">
        <v>31</v>
      </c>
      <c r="E5" s="1">
        <v>45308</v>
      </c>
      <c r="F5" t="str">
        <f>PROPER(B5)</f>
        <v>Alice White</v>
      </c>
      <c r="G5" t="str">
        <f>PROPER(Table1[[#This Row],[CITY]])</f>
        <v>Chicago</v>
      </c>
    </row>
    <row r="6" spans="1:7" x14ac:dyDescent="0.35">
      <c r="A6">
        <v>6</v>
      </c>
      <c r="B6" t="s">
        <v>32</v>
      </c>
      <c r="C6">
        <v>4500</v>
      </c>
      <c r="D6" t="s">
        <v>26</v>
      </c>
      <c r="E6" s="1">
        <v>45309</v>
      </c>
      <c r="F6" t="str">
        <f>PROPER(B6)</f>
        <v>Bob Martin</v>
      </c>
      <c r="G6" t="str">
        <f>PROPER(Table1[[#This Row],[CITY]])</f>
        <v>New York</v>
      </c>
    </row>
    <row r="7" spans="1:7" x14ac:dyDescent="0.35">
      <c r="E7" s="1"/>
    </row>
    <row r="11" spans="1:7" x14ac:dyDescent="0.35">
      <c r="C11" s="2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From Scratch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METRI</dc:creator>
  <cp:lastModifiedBy>AMUL METRI</cp:lastModifiedBy>
  <dcterms:created xsi:type="dcterms:W3CDTF">2026-03-06T08:26:47Z</dcterms:created>
  <dcterms:modified xsi:type="dcterms:W3CDTF">2026-03-06T10:26:37Z</dcterms:modified>
</cp:coreProperties>
</file>