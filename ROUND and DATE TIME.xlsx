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ulm\Desktop\"/>
    </mc:Choice>
  </mc:AlternateContent>
  <xr:revisionPtr revIDLastSave="0" documentId="13_ncr:1_{C5B59580-C9BF-482B-9B81-41C0F86AFCF5}" xr6:coauthVersionLast="47" xr6:coauthVersionMax="47" xr10:uidLastSave="{00000000-0000-0000-0000-000000000000}"/>
  <bookViews>
    <workbookView xWindow="-110" yWindow="-110" windowWidth="19420" windowHeight="11020" activeTab="2" xr2:uid="{BDF2D854-B00E-4F97-B942-C40819731463}"/>
  </bookViews>
  <sheets>
    <sheet name="Round" sheetId="1" r:id="rId1"/>
    <sheet name="Date and TIme formatting" sheetId="2" r:id="rId2"/>
    <sheet name="Round and DT P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4" i="3" l="1"/>
  <c r="C33" i="3"/>
  <c r="C29" i="3"/>
  <c r="C26" i="3"/>
  <c r="C24" i="3"/>
  <c r="C19" i="3"/>
  <c r="B16" i="3"/>
  <c r="C11" i="3"/>
  <c r="B9" i="3"/>
  <c r="B4" i="3"/>
  <c r="F18" i="2"/>
  <c r="H15" i="2"/>
  <c r="H12" i="2"/>
  <c r="H9" i="2"/>
  <c r="H8" i="2"/>
  <c r="H1" i="2"/>
  <c r="F7" i="2"/>
  <c r="F3" i="2"/>
  <c r="E3" i="2"/>
  <c r="B26" i="2"/>
  <c r="B22" i="2"/>
  <c r="B17" i="2"/>
  <c r="B9" i="2"/>
  <c r="B4" i="2"/>
  <c r="C20" i="1"/>
  <c r="C17" i="1"/>
  <c r="C13" i="1"/>
  <c r="A13" i="1"/>
  <c r="A12" i="1"/>
  <c r="A11" i="1"/>
  <c r="C9" i="1"/>
  <c r="C3" i="1"/>
  <c r="A3" i="1"/>
  <c r="A2" i="1"/>
  <c r="A1" i="1"/>
</calcChain>
</file>

<file path=xl/sharedStrings.xml><?xml version="1.0" encoding="utf-8"?>
<sst xmlns="http://schemas.openxmlformats.org/spreadsheetml/2006/main" count="51" uniqueCount="32">
  <si>
    <t>Salary</t>
  </si>
  <si>
    <t>Tax Rate</t>
  </si>
  <si>
    <t>Hours Worked</t>
  </si>
  <si>
    <t>Hourly Rate</t>
  </si>
  <si>
    <t>Productivity Price</t>
  </si>
  <si>
    <t>Quanity</t>
  </si>
  <si>
    <t>Old Salary</t>
  </si>
  <si>
    <t>Increment Rate</t>
  </si>
  <si>
    <t>Sales</t>
  </si>
  <si>
    <t>Commission</t>
  </si>
  <si>
    <t>End</t>
  </si>
  <si>
    <t xml:space="preserve">Start </t>
  </si>
  <si>
    <t>Formuals</t>
  </si>
  <si>
    <t>Start</t>
  </si>
  <si>
    <t>Date</t>
  </si>
  <si>
    <t>Working Hours</t>
  </si>
  <si>
    <t>Result</t>
  </si>
  <si>
    <t>Night Shift</t>
  </si>
  <si>
    <t>B2</t>
  </si>
  <si>
    <t>B3</t>
  </si>
  <si>
    <t>SALARY</t>
  </si>
  <si>
    <t>TAX RATE</t>
  </si>
  <si>
    <t>COMMISSION</t>
  </si>
  <si>
    <t>Loan Date</t>
  </si>
  <si>
    <t>Duration</t>
  </si>
  <si>
    <t>120 Days</t>
  </si>
  <si>
    <t>END</t>
  </si>
  <si>
    <t>Ticket Open</t>
  </si>
  <si>
    <t>Ticket Close</t>
  </si>
  <si>
    <t>MOD Logic</t>
  </si>
  <si>
    <t xml:space="preserve">Number </t>
  </si>
  <si>
    <t>Month End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</si>
</sst>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4" fontId="0" fillId="0" borderId="0" xfId="0" applyNumberFormat="1"/>
    <xf numFmtId="9" fontId="0" fillId="0" borderId="0" xfId="0" applyNumberFormat="1"/>
    <xf numFmtId="0" fontId="1" fillId="2" borderId="0" xfId="0" applyFont="1" applyFill="1"/>
    <xf numFmtId="3" fontId="0" fillId="0" borderId="0" xfId="0" applyNumberFormat="1"/>
    <xf numFmtId="10" fontId="0" fillId="0" borderId="0" xfId="0" applyNumberFormat="1"/>
    <xf numFmtId="14" fontId="0" fillId="0" borderId="0" xfId="0" applyNumberFormat="1"/>
    <xf numFmtId="18" fontId="0" fillId="0" borderId="0" xfId="0" applyNumberFormat="1"/>
    <xf numFmtId="2" fontId="0" fillId="0" borderId="0" xfId="0" applyNumberFormat="1"/>
    <xf numFmtId="22" fontId="0" fillId="0" borderId="0" xfId="0" applyNumberFormat="1"/>
    <xf numFmtId="0" fontId="0" fillId="0" borderId="0" xfId="0" applyNumberFormat="1"/>
    <xf numFmtId="169" fontId="0" fillId="0" borderId="0" xfId="0" applyNumberFormat="1"/>
    <xf numFmtId="0" fontId="0" fillId="3" borderId="0" xfId="0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23C70B-FD6B-42C6-B29F-0024A9AD8663}">
  <dimension ref="A1:D20"/>
  <sheetViews>
    <sheetView topLeftCell="A10" workbookViewId="0">
      <selection activeCell="D32" sqref="D32"/>
    </sheetView>
  </sheetViews>
  <sheetFormatPr defaultRowHeight="14.5" x14ac:dyDescent="0.35"/>
  <cols>
    <col min="2" max="2" width="16.08984375" customWidth="1"/>
    <col min="3" max="3" width="8.90625" bestFit="1" customWidth="1"/>
  </cols>
  <sheetData>
    <row r="1" spans="1:4" x14ac:dyDescent="0.35">
      <c r="A1">
        <f>ROUND(84.3764, 2)</f>
        <v>84.38</v>
      </c>
      <c r="B1" s="3" t="s">
        <v>0</v>
      </c>
      <c r="C1" s="1">
        <v>58475.8</v>
      </c>
    </row>
    <row r="2" spans="1:4" x14ac:dyDescent="0.35">
      <c r="A2">
        <f>ROUND(459.51, 0)</f>
        <v>460</v>
      </c>
      <c r="B2" s="3" t="s">
        <v>1</v>
      </c>
      <c r="C2" s="2">
        <v>0.18</v>
      </c>
    </row>
    <row r="3" spans="1:4" x14ac:dyDescent="0.35">
      <c r="A3">
        <f>ROUND(12789, -3)</f>
        <v>13000</v>
      </c>
      <c r="C3">
        <f>ROUND(C1*C2,2)</f>
        <v>10525.64</v>
      </c>
    </row>
    <row r="7" spans="1:4" x14ac:dyDescent="0.35">
      <c r="B7" s="3" t="s">
        <v>2</v>
      </c>
      <c r="C7">
        <v>42.35</v>
      </c>
    </row>
    <row r="8" spans="1:4" x14ac:dyDescent="0.35">
      <c r="B8" s="3" t="s">
        <v>3</v>
      </c>
      <c r="C8">
        <v>512.75</v>
      </c>
    </row>
    <row r="9" spans="1:4" x14ac:dyDescent="0.35">
      <c r="C9">
        <f>ROUND(C7*C8,2)</f>
        <v>21714.959999999999</v>
      </c>
    </row>
    <row r="11" spans="1:4" x14ac:dyDescent="0.35">
      <c r="A11">
        <f>ROUND(96.4449,3)</f>
        <v>96.444999999999993</v>
      </c>
      <c r="B11" s="3" t="s">
        <v>4</v>
      </c>
      <c r="C11" s="1">
        <v>1875.55</v>
      </c>
    </row>
    <row r="12" spans="1:4" x14ac:dyDescent="0.35">
      <c r="A12">
        <f>ROUND(784,-1)</f>
        <v>780</v>
      </c>
      <c r="B12" s="3" t="s">
        <v>5</v>
      </c>
      <c r="C12">
        <v>7</v>
      </c>
    </row>
    <row r="13" spans="1:4" x14ac:dyDescent="0.35">
      <c r="A13">
        <f>ROUND(-45.678,2)</f>
        <v>-45.68</v>
      </c>
      <c r="C13">
        <f>ROUND(C11*C12,2)</f>
        <v>13128.85</v>
      </c>
    </row>
    <row r="15" spans="1:4" x14ac:dyDescent="0.35">
      <c r="B15" s="3" t="s">
        <v>6</v>
      </c>
      <c r="C15" s="4">
        <v>62450</v>
      </c>
      <c r="D15" s="4"/>
    </row>
    <row r="16" spans="1:4" x14ac:dyDescent="0.35">
      <c r="B16" s="3" t="s">
        <v>7</v>
      </c>
      <c r="C16" s="5">
        <v>8.7499999999999994E-2</v>
      </c>
    </row>
    <row r="17" spans="2:3" x14ac:dyDescent="0.35">
      <c r="C17">
        <f>ROUND(C15*C16,0)</f>
        <v>5464</v>
      </c>
    </row>
    <row r="18" spans="2:3" x14ac:dyDescent="0.35">
      <c r="B18" s="3" t="s">
        <v>8</v>
      </c>
      <c r="C18" s="4">
        <v>348750</v>
      </c>
    </row>
    <row r="19" spans="2:3" x14ac:dyDescent="0.35">
      <c r="B19" s="3" t="s">
        <v>9</v>
      </c>
      <c r="C19" s="5">
        <v>2.35E-2</v>
      </c>
    </row>
    <row r="20" spans="2:3" x14ac:dyDescent="0.35">
      <c r="C20">
        <f>ROUND(C18*C19,-3)</f>
        <v>8000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92F6E-ACAC-4E18-A0BF-C5FF880679B1}">
  <dimension ref="A1:I26"/>
  <sheetViews>
    <sheetView workbookViewId="0">
      <selection activeCell="F18" sqref="F18"/>
    </sheetView>
  </sheetViews>
  <sheetFormatPr defaultRowHeight="14.5" x14ac:dyDescent="0.35"/>
  <cols>
    <col min="1" max="1" width="12.26953125" customWidth="1"/>
    <col min="2" max="2" width="10.08984375" bestFit="1" customWidth="1"/>
    <col min="5" max="5" width="19.08984375" customWidth="1"/>
    <col min="6" max="6" width="23.08984375" customWidth="1"/>
    <col min="7" max="7" width="21.26953125" customWidth="1"/>
    <col min="8" max="8" width="22.08984375" customWidth="1"/>
    <col min="9" max="9" width="23.1796875" customWidth="1"/>
  </cols>
  <sheetData>
    <row r="1" spans="1:9" x14ac:dyDescent="0.35">
      <c r="A1" t="s">
        <v>11</v>
      </c>
      <c r="B1" s="6">
        <v>45721</v>
      </c>
      <c r="D1" t="s">
        <v>11</v>
      </c>
      <c r="E1" s="6">
        <v>46078</v>
      </c>
      <c r="F1" s="7">
        <v>0.9375</v>
      </c>
      <c r="G1" s="9">
        <v>46113.638888888891</v>
      </c>
      <c r="H1" s="11">
        <f>G2-G1</f>
        <v>1.8541666666642413</v>
      </c>
    </row>
    <row r="2" spans="1:9" x14ac:dyDescent="0.35">
      <c r="A2" t="s">
        <v>10</v>
      </c>
      <c r="B2" s="6">
        <v>45736</v>
      </c>
      <c r="D2" t="s">
        <v>10</v>
      </c>
      <c r="E2" s="6">
        <v>46079</v>
      </c>
      <c r="F2" s="7">
        <v>0.30208333333333331</v>
      </c>
      <c r="G2" s="9">
        <v>46115.493055555555</v>
      </c>
    </row>
    <row r="3" spans="1:9" x14ac:dyDescent="0.35">
      <c r="E3">
        <f>(E2-E1)</f>
        <v>1</v>
      </c>
      <c r="F3" s="8">
        <f>MOD(F2-F1,1)*24</f>
        <v>8.7499999999999982</v>
      </c>
    </row>
    <row r="4" spans="1:9" x14ac:dyDescent="0.35">
      <c r="A4" t="s">
        <v>12</v>
      </c>
      <c r="B4">
        <f>B2-B1</f>
        <v>15</v>
      </c>
    </row>
    <row r="5" spans="1:9" x14ac:dyDescent="0.35">
      <c r="E5" s="6">
        <v>46096</v>
      </c>
      <c r="F5" s="7">
        <v>0.40625</v>
      </c>
    </row>
    <row r="6" spans="1:9" x14ac:dyDescent="0.35">
      <c r="E6" s="6">
        <v>46096</v>
      </c>
      <c r="F6" s="7">
        <v>0.75694444444444442</v>
      </c>
    </row>
    <row r="7" spans="1:9" x14ac:dyDescent="0.35">
      <c r="A7" t="s">
        <v>13</v>
      </c>
      <c r="B7" s="6">
        <v>45721</v>
      </c>
      <c r="F7" s="8">
        <f>(F6-F5)*24</f>
        <v>8.4166666666666661</v>
      </c>
    </row>
    <row r="8" spans="1:9" x14ac:dyDescent="0.35">
      <c r="A8" t="s">
        <v>10</v>
      </c>
      <c r="B8" s="6">
        <v>45736</v>
      </c>
      <c r="G8" s="9">
        <v>46185.59375</v>
      </c>
      <c r="H8">
        <f>G9-G8</f>
        <v>2.1875</v>
      </c>
      <c r="I8" s="9"/>
    </row>
    <row r="9" spans="1:9" x14ac:dyDescent="0.35">
      <c r="A9" t="s">
        <v>12</v>
      </c>
      <c r="B9">
        <f>B8-B7+1</f>
        <v>16</v>
      </c>
      <c r="G9" s="9">
        <v>46187.78125</v>
      </c>
      <c r="H9">
        <f>(G9-G8)*24</f>
        <v>52.5</v>
      </c>
    </row>
    <row r="10" spans="1:9" x14ac:dyDescent="0.35">
      <c r="E10" s="9"/>
      <c r="F10" s="6"/>
      <c r="G10" s="7"/>
    </row>
    <row r="11" spans="1:9" x14ac:dyDescent="0.35">
      <c r="A11" t="s">
        <v>14</v>
      </c>
      <c r="B11" s="6">
        <v>45651</v>
      </c>
      <c r="F11" s="6"/>
      <c r="G11" s="9">
        <v>46204.375</v>
      </c>
      <c r="H11" s="10"/>
    </row>
    <row r="12" spans="1:9" x14ac:dyDescent="0.35">
      <c r="B12" s="6"/>
      <c r="F12" s="10"/>
      <c r="G12" s="9">
        <v>46205.645833333336</v>
      </c>
      <c r="H12" s="10">
        <f>(G12-G11)*24</f>
        <v>30.500000000058208</v>
      </c>
    </row>
    <row r="14" spans="1:9" x14ac:dyDescent="0.35">
      <c r="A14" t="s">
        <v>15</v>
      </c>
      <c r="G14" s="9">
        <v>46208.78125</v>
      </c>
    </row>
    <row r="15" spans="1:9" x14ac:dyDescent="0.35">
      <c r="A15" t="s">
        <v>13</v>
      </c>
      <c r="B15" s="7">
        <v>0.35416666666666669</v>
      </c>
      <c r="G15" s="9">
        <v>46210.177083333336</v>
      </c>
      <c r="H15" s="8">
        <f>(G15-G14)*24</f>
        <v>33.500000000058208</v>
      </c>
    </row>
    <row r="16" spans="1:9" x14ac:dyDescent="0.35">
      <c r="A16" t="s">
        <v>10</v>
      </c>
      <c r="B16" s="7">
        <v>0.71875</v>
      </c>
      <c r="F16" s="6">
        <v>46122</v>
      </c>
    </row>
    <row r="17" spans="1:6" x14ac:dyDescent="0.35">
      <c r="A17" t="s">
        <v>16</v>
      </c>
      <c r="B17" s="7">
        <f>(B16-B15)*24</f>
        <v>8.75</v>
      </c>
      <c r="F17" s="6">
        <v>46530</v>
      </c>
    </row>
    <row r="18" spans="1:6" x14ac:dyDescent="0.35">
      <c r="F18">
        <f>(F17-F16)</f>
        <v>408</v>
      </c>
    </row>
    <row r="19" spans="1:6" x14ac:dyDescent="0.35">
      <c r="A19" t="s">
        <v>17</v>
      </c>
    </row>
    <row r="20" spans="1:6" x14ac:dyDescent="0.35">
      <c r="A20" t="s">
        <v>13</v>
      </c>
      <c r="B20" s="7">
        <v>0.95833333333333337</v>
      </c>
    </row>
    <row r="21" spans="1:6" x14ac:dyDescent="0.35">
      <c r="A21" t="s">
        <v>10</v>
      </c>
      <c r="B21" s="7">
        <v>0.3125</v>
      </c>
    </row>
    <row r="22" spans="1:6" x14ac:dyDescent="0.35">
      <c r="B22" s="7">
        <f>MOD(B21-B20,1)*24</f>
        <v>8.5</v>
      </c>
    </row>
    <row r="24" spans="1:6" x14ac:dyDescent="0.35">
      <c r="A24" t="s">
        <v>18</v>
      </c>
      <c r="B24" s="7">
        <v>0.95833333333333337</v>
      </c>
    </row>
    <row r="25" spans="1:6" x14ac:dyDescent="0.35">
      <c r="A25" t="s">
        <v>19</v>
      </c>
      <c r="B25" s="7">
        <v>0.3125</v>
      </c>
    </row>
    <row r="26" spans="1:6" x14ac:dyDescent="0.35">
      <c r="B26" s="8">
        <f>MOD(B25-B24,1)*24</f>
        <v>8.5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5D206B-9795-4EBA-8D6B-59F8CDF0764A}">
  <sheetPr>
    <tabColor theme="4" tint="-0.499984740745262"/>
  </sheetPr>
  <dimension ref="A1:D34"/>
  <sheetViews>
    <sheetView tabSelected="1" workbookViewId="0">
      <selection activeCell="E8" sqref="E8"/>
    </sheetView>
  </sheetViews>
  <sheetFormatPr defaultRowHeight="14.5" x14ac:dyDescent="0.35"/>
  <cols>
    <col min="1" max="1" width="21" customWidth="1"/>
    <col min="2" max="2" width="21.26953125" customWidth="1"/>
    <col min="3" max="3" width="17.26953125" customWidth="1"/>
  </cols>
  <sheetData>
    <row r="1" spans="1:4" x14ac:dyDescent="0.35">
      <c r="A1" s="13"/>
    </row>
    <row r="2" spans="1:4" x14ac:dyDescent="0.35">
      <c r="A2" s="3" t="s">
        <v>20</v>
      </c>
      <c r="B2" s="1">
        <v>58945.75</v>
      </c>
    </row>
    <row r="3" spans="1:4" x14ac:dyDescent="0.35">
      <c r="A3" s="3" t="s">
        <v>21</v>
      </c>
      <c r="B3" s="5">
        <v>0.128</v>
      </c>
    </row>
    <row r="4" spans="1:4" x14ac:dyDescent="0.35">
      <c r="B4">
        <f>ROUND(B2*B3,2)</f>
        <v>7545.06</v>
      </c>
    </row>
    <row r="6" spans="1:4" x14ac:dyDescent="0.35">
      <c r="A6" t="s">
        <v>22</v>
      </c>
      <c r="D6" s="12"/>
    </row>
    <row r="7" spans="1:4" x14ac:dyDescent="0.35">
      <c r="A7" s="3" t="s">
        <v>8</v>
      </c>
      <c r="B7" s="4">
        <v>487350</v>
      </c>
    </row>
    <row r="8" spans="1:4" x14ac:dyDescent="0.35">
      <c r="A8" s="3" t="s">
        <v>9</v>
      </c>
      <c r="B8" s="5">
        <v>3.7499999999999999E-2</v>
      </c>
    </row>
    <row r="9" spans="1:4" x14ac:dyDescent="0.35">
      <c r="B9">
        <f>ROUND(B7*B8,-3)</f>
        <v>18000</v>
      </c>
    </row>
    <row r="11" spans="1:4" x14ac:dyDescent="0.35">
      <c r="A11" s="3" t="s">
        <v>13</v>
      </c>
      <c r="B11" s="6">
        <v>46249</v>
      </c>
      <c r="C11">
        <f>(B12-B11)</f>
        <v>19</v>
      </c>
    </row>
    <row r="12" spans="1:4" x14ac:dyDescent="0.35">
      <c r="A12" s="3" t="s">
        <v>10</v>
      </c>
      <c r="B12" s="6">
        <v>46268</v>
      </c>
    </row>
    <row r="14" spans="1:4" x14ac:dyDescent="0.35">
      <c r="A14" s="3" t="s">
        <v>23</v>
      </c>
      <c r="B14" s="10">
        <v>46305</v>
      </c>
    </row>
    <row r="15" spans="1:4" x14ac:dyDescent="0.35">
      <c r="A15" s="3" t="s">
        <v>24</v>
      </c>
      <c r="B15" s="8" t="s">
        <v>25</v>
      </c>
    </row>
    <row r="16" spans="1:4" x14ac:dyDescent="0.35">
      <c r="B16" s="6">
        <f>B14+120</f>
        <v>46425</v>
      </c>
    </row>
    <row r="18" spans="1:3" x14ac:dyDescent="0.35">
      <c r="A18" s="3" t="s">
        <v>15</v>
      </c>
    </row>
    <row r="19" spans="1:3" x14ac:dyDescent="0.35">
      <c r="A19" s="3" t="s">
        <v>13</v>
      </c>
      <c r="B19" s="9">
        <v>46215.385416666664</v>
      </c>
      <c r="C19">
        <f>(B20-B19)*24</f>
        <v>57.500000000058208</v>
      </c>
    </row>
    <row r="20" spans="1:3" x14ac:dyDescent="0.35">
      <c r="A20" s="3" t="s">
        <v>10</v>
      </c>
      <c r="B20" s="9">
        <v>46217.78125</v>
      </c>
    </row>
    <row r="22" spans="1:3" x14ac:dyDescent="0.35">
      <c r="A22" s="3" t="s">
        <v>17</v>
      </c>
    </row>
    <row r="23" spans="1:3" x14ac:dyDescent="0.35">
      <c r="A23" s="3" t="s">
        <v>13</v>
      </c>
      <c r="B23" s="7">
        <v>0.94791666666666663</v>
      </c>
      <c r="C23" s="7"/>
    </row>
    <row r="24" spans="1:3" x14ac:dyDescent="0.35">
      <c r="A24" s="3" t="s">
        <v>26</v>
      </c>
      <c r="B24" s="7">
        <v>0.27083333333333331</v>
      </c>
      <c r="C24" s="10">
        <f>MOD(B24-B23,1)*24</f>
        <v>7.7500000000000018</v>
      </c>
    </row>
    <row r="26" spans="1:3" x14ac:dyDescent="0.35">
      <c r="A26" s="3" t="s">
        <v>27</v>
      </c>
      <c r="B26" s="9">
        <v>46235.638888888891</v>
      </c>
      <c r="C26">
        <f>(B27-B26)*24</f>
        <v>44.499999999941792</v>
      </c>
    </row>
    <row r="27" spans="1:3" x14ac:dyDescent="0.35">
      <c r="A27" s="3" t="s">
        <v>28</v>
      </c>
      <c r="B27" s="9">
        <v>46237.493055555555</v>
      </c>
    </row>
    <row r="29" spans="1:3" x14ac:dyDescent="0.35">
      <c r="A29" s="3" t="s">
        <v>13</v>
      </c>
      <c r="B29" s="7">
        <v>0.375</v>
      </c>
      <c r="C29" s="8">
        <f>(B30-B29)*24</f>
        <v>10.333333333333334</v>
      </c>
    </row>
    <row r="30" spans="1:3" x14ac:dyDescent="0.35">
      <c r="A30" s="3" t="s">
        <v>10</v>
      </c>
      <c r="B30" s="7">
        <v>0.80555555555555558</v>
      </c>
    </row>
    <row r="32" spans="1:3" x14ac:dyDescent="0.35">
      <c r="A32" s="3" t="s">
        <v>29</v>
      </c>
      <c r="B32" t="s">
        <v>30</v>
      </c>
    </row>
    <row r="33" spans="1:3" x14ac:dyDescent="0.35">
      <c r="B33">
        <v>457</v>
      </c>
      <c r="C33">
        <f>MOD(B33,2)</f>
        <v>1</v>
      </c>
    </row>
    <row r="34" spans="1:3" x14ac:dyDescent="0.35">
      <c r="A34" s="3" t="s">
        <v>31</v>
      </c>
      <c r="B34" s="6">
        <v>46071</v>
      </c>
      <c r="C34" s="6">
        <f>EOMONTH(B34,0)</f>
        <v>46081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</vt:lpstr>
      <vt:lpstr>Date and TIme formatting</vt:lpstr>
      <vt:lpstr>Round and DT 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 METRI</dc:creator>
  <cp:lastModifiedBy>AMUL METRI</cp:lastModifiedBy>
  <dcterms:created xsi:type="dcterms:W3CDTF">2026-02-26T05:51:35Z</dcterms:created>
  <dcterms:modified xsi:type="dcterms:W3CDTF">2026-02-26T08:10:23Z</dcterms:modified>
</cp:coreProperties>
</file>