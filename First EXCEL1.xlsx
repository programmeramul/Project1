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wanath\Downloads\"/>
    </mc:Choice>
  </mc:AlternateContent>
  <xr:revisionPtr revIDLastSave="0" documentId="13_ncr:1_{62104E93-B264-48C8-A4D7-AECCE506524A}" xr6:coauthVersionLast="47" xr6:coauthVersionMax="47" xr10:uidLastSave="{00000000-0000-0000-0000-000000000000}"/>
  <bookViews>
    <workbookView xWindow="-120" yWindow="-120" windowWidth="20730" windowHeight="11160" activeTab="3" xr2:uid="{81574309-569E-4E34-9923-E710B123630D}"/>
  </bookViews>
  <sheets>
    <sheet name="Sheet1" sheetId="1" r:id="rId1"/>
    <sheet name="Sheet2" sheetId="2" r:id="rId2"/>
    <sheet name="Test Book 1" sheetId="3" r:id="rId3"/>
    <sheet name="2025 JAN-MAY FINACAL REPO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 s="1"/>
  <c r="H9" i="3"/>
  <c r="G9" i="3"/>
  <c r="F9" i="3"/>
  <c r="E9" i="3"/>
  <c r="D9" i="3"/>
  <c r="C9" i="3"/>
  <c r="B9" i="3"/>
  <c r="J8" i="3"/>
  <c r="J7" i="3"/>
  <c r="J6" i="3"/>
  <c r="J5" i="3"/>
  <c r="J4" i="3"/>
  <c r="J3" i="3"/>
  <c r="J2" i="3"/>
  <c r="I8" i="3"/>
  <c r="I7" i="3"/>
  <c r="I6" i="3"/>
  <c r="I5" i="3"/>
  <c r="I4" i="3"/>
  <c r="I3" i="3"/>
  <c r="I2" i="3"/>
  <c r="G8" i="2"/>
  <c r="F9" i="2"/>
  <c r="F8" i="2"/>
  <c r="G7" i="2"/>
  <c r="G6" i="2"/>
  <c r="G5" i="2"/>
  <c r="G4" i="2"/>
  <c r="G3" i="2"/>
  <c r="G2" i="2"/>
  <c r="F7" i="2"/>
  <c r="F6" i="2"/>
  <c r="F5" i="2"/>
  <c r="F4" i="2"/>
  <c r="F3" i="2"/>
  <c r="F2" i="2"/>
  <c r="C9" i="1"/>
  <c r="B12" i="1"/>
  <c r="B11" i="1"/>
  <c r="B10" i="1"/>
  <c r="B9" i="1"/>
  <c r="F7" i="1"/>
  <c r="F6" i="1"/>
  <c r="H5" i="1"/>
  <c r="H4" i="1"/>
  <c r="H3" i="1"/>
  <c r="H2" i="1"/>
  <c r="G5" i="1"/>
  <c r="G4" i="1"/>
  <c r="G3" i="1"/>
  <c r="G2" i="1"/>
  <c r="F5" i="1"/>
  <c r="F4" i="1"/>
  <c r="F3" i="1"/>
  <c r="F2" i="1"/>
  <c r="B4" i="4" l="1"/>
  <c r="C2" i="4"/>
  <c r="D2" i="4" l="1"/>
  <c r="C4" i="4"/>
  <c r="C3" i="4"/>
  <c r="E2" i="4" l="1"/>
  <c r="D3" i="4"/>
  <c r="D4" i="4"/>
  <c r="F2" i="4" l="1"/>
  <c r="E3" i="4"/>
  <c r="E4" i="4"/>
  <c r="F4" i="4" l="1"/>
  <c r="G4" i="4" s="1"/>
  <c r="F3" i="4"/>
  <c r="G3" i="4" s="1"/>
  <c r="G2" i="4"/>
</calcChain>
</file>

<file path=xl/sharedStrings.xml><?xml version="1.0" encoding="utf-8"?>
<sst xmlns="http://schemas.openxmlformats.org/spreadsheetml/2006/main" count="74" uniqueCount="64">
  <si>
    <t>Product</t>
  </si>
  <si>
    <t>Jan</t>
  </si>
  <si>
    <t>Feb</t>
  </si>
  <si>
    <t>Mar</t>
  </si>
  <si>
    <t>Apr</t>
  </si>
  <si>
    <t>Laptop</t>
  </si>
  <si>
    <t>Mobile</t>
  </si>
  <si>
    <t>Tablet</t>
  </si>
  <si>
    <t>Monitor</t>
  </si>
  <si>
    <t>Total Sales</t>
  </si>
  <si>
    <t>Average</t>
  </si>
  <si>
    <t>Max</t>
  </si>
  <si>
    <t>Total sales in list)</t>
  </si>
  <si>
    <t>March</t>
  </si>
  <si>
    <t>April</t>
  </si>
  <si>
    <t>The maximum is the APRIL)</t>
  </si>
  <si>
    <t xml:space="preserve">April </t>
  </si>
  <si>
    <t>Employee</t>
  </si>
  <si>
    <t>Department</t>
  </si>
  <si>
    <t>Arjun</t>
  </si>
  <si>
    <t>Sales</t>
  </si>
  <si>
    <t>Meera</t>
  </si>
  <si>
    <t>HR</t>
  </si>
  <si>
    <t>Rahul</t>
  </si>
  <si>
    <t>IT</t>
  </si>
  <si>
    <t>Priya</t>
  </si>
  <si>
    <t>Karan</t>
  </si>
  <si>
    <t>Ananya</t>
  </si>
  <si>
    <t>Total Perfromance</t>
  </si>
  <si>
    <t>Average Perfromance</t>
  </si>
  <si>
    <t>Higest  Performance</t>
  </si>
  <si>
    <t>Lowest Performance</t>
  </si>
  <si>
    <t>Overall Average company socre is 80.333</t>
  </si>
  <si>
    <t>Name</t>
  </si>
  <si>
    <t>Quiz 1</t>
  </si>
  <si>
    <t>Quiz 2</t>
  </si>
  <si>
    <t xml:space="preserve">Quiz 3 </t>
  </si>
  <si>
    <t>Quiz 4</t>
  </si>
  <si>
    <t>Test 1</t>
  </si>
  <si>
    <t>Test 2</t>
  </si>
  <si>
    <t>Test 3</t>
  </si>
  <si>
    <t>Amul</t>
  </si>
  <si>
    <t>Visha</t>
  </si>
  <si>
    <t>Vinaya</t>
  </si>
  <si>
    <t>Mohith</t>
  </si>
  <si>
    <t>Yashas</t>
  </si>
  <si>
    <t>Shashank</t>
  </si>
  <si>
    <t>Prawjal</t>
  </si>
  <si>
    <t>Total</t>
  </si>
  <si>
    <t>Percentage</t>
  </si>
  <si>
    <t>JAN</t>
  </si>
  <si>
    <t>FEB</t>
  </si>
  <si>
    <t>MAR</t>
  </si>
  <si>
    <t>APR</t>
  </si>
  <si>
    <t>MAY</t>
  </si>
  <si>
    <t>Revenue</t>
  </si>
  <si>
    <t>Expenses</t>
  </si>
  <si>
    <t>Net Income</t>
  </si>
  <si>
    <t>TOTAL</t>
  </si>
  <si>
    <t>Assumpations (Formula Based)</t>
  </si>
  <si>
    <t>Start Revenue for Jan</t>
  </si>
  <si>
    <t>Revenue % Increases</t>
  </si>
  <si>
    <t xml:space="preserve">Expenses as % of Revenue </t>
  </si>
  <si>
    <t>2025 Net income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</si>
</sst>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"/>
    <numFmt numFmtId="165" formatCode="0.0%"/>
    <numFmt numFmtId="166" formatCode="&quot;₹&quot;\ 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Serif"/>
      <family val="1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/>
    <xf numFmtId="0" fontId="4" fillId="3" borderId="1" xfId="3" applyBorder="1"/>
    <xf numFmtId="0" fontId="0" fillId="0" borderId="1" xfId="0" applyBorder="1"/>
    <xf numFmtId="9" fontId="0" fillId="0" borderId="1" xfId="1" applyFont="1" applyBorder="1"/>
    <xf numFmtId="0" fontId="3" fillId="2" borderId="1" xfId="2" applyBorder="1"/>
    <xf numFmtId="0" fontId="0" fillId="6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/>
    <xf numFmtId="0" fontId="7" fillId="7" borderId="1" xfId="0" applyFont="1" applyFill="1" applyBorder="1"/>
    <xf numFmtId="0" fontId="0" fillId="7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9" fontId="0" fillId="0" borderId="1" xfId="0" applyNumberFormat="1" applyBorder="1"/>
    <xf numFmtId="166" fontId="0" fillId="0" borderId="1" xfId="0" applyNumberFormat="1" applyBorder="1"/>
  </cellXfs>
  <cellStyles count="4">
    <cellStyle name="Good" xfId="2" builtinId="26"/>
    <cellStyle name="Neutral" xfId="3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'2025 JAN-MAY FINACAL REPORT'!$A$1</c:f>
          <c:strCache>
            <c:ptCount val="1"/>
            <c:pt idx="0">
              <c:v>2025 Net income Projections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18071879845917"/>
          <c:y val="0.1761006289308176"/>
          <c:w val="0.81479701258637027"/>
          <c:h val="0.732738275640073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'2025 JAN-MAY FINACAL REPORT'!$A$4</c:f>
              <c:strCache>
                <c:ptCount val="1"/>
                <c:pt idx="0">
                  <c:v>Net Income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'2025 JAN-MAY FINACAL REPORT'!$B$4:$F$4</c:f>
              <c:numCache>
                <c:formatCode>"₹"\ #,##0.00</c:formatCode>
                <c:ptCount val="5"/>
                <c:pt idx="0">
                  <c:v>1750</c:v>
                </c:pt>
                <c:pt idx="1">
                  <c:v>2000</c:v>
                </c:pt>
                <c:pt idx="2">
                  <c:v>2262.5</c:v>
                </c:pt>
                <c:pt idx="3">
                  <c:v>2538.125</c:v>
                </c:pt>
                <c:pt idx="4">
                  <c:v>2827.53125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A-4DAE-A13A-02979327E97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1463695"/>
        <c:axId val="631465135"/>
      </c:barChart>
      <c:catAx>
        <c:axId val="631463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465135"/>
        <c:crosses val="autoZero"/>
        <c:auto val="1"/>
        <c:lblAlgn val="ctr"/>
        <c:lblOffset val="100"/>
        <c:noMultiLvlLbl val="0"/>
      </c:catAx>
      <c:valAx>
        <c:axId val="63146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463695"/>
        <c:crosses val="autoZero"/>
        <c:crossBetween val="between"/>
      </c:valAx>
      <c:spPr>
        <a:solidFill>
          <a:schemeClr val="tx1">
            <a:lumMod val="65000"/>
            <a:lumOff val="35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>
      <c:oddFooter>&amp;C&amp;F&amp;A</c:oddFooter>
    </c:headerFooter>
    <c:pageMargins b="1.3385826771653544" l="0.70866141732283472" r="0.70866141732283472" t="0.74803149606299213" header="0.31496062992125984" footer="0.51181102362204722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161924</xdr:colOff>
      <xdr:row>6</xdr:row>
      <xdr:rowOff>0</xdr:rowOff>
    </xdr:from>
    <xdr:to>
      <xdr:col>10</xdr:col>
      <xdr:colOff>428624</xdr:colOff>
      <xdr:row>19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FD1AB3-5881-7742-EED6-393454404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E2E4-E0A3-42E2-BB39-75345874F35D}">
  <dimension ref="A1:I13"/>
  <sheetViews>
    <sheetView workbookViewId="0">
      <selection activeCell="C14" sqref="C14"/>
    </sheetView>
  </sheetViews>
  <sheetFormatPr defaultRowHeight="15" x14ac:dyDescent="0.25"/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/>
    </row>
    <row r="2" spans="1:9" x14ac:dyDescent="0.25">
      <c r="A2" s="2" t="s">
        <v>5</v>
      </c>
      <c r="B2" s="2">
        <v>45000</v>
      </c>
      <c r="C2" s="2">
        <v>52000</v>
      </c>
      <c r="D2" s="2">
        <v>48000</v>
      </c>
      <c r="E2" s="2">
        <v>61000</v>
      </c>
      <c r="F2">
        <f>SUM(B2:E2)</f>
        <v>206000</v>
      </c>
      <c r="G2">
        <f>AVERAGE(B2:E2)</f>
        <v>51500</v>
      </c>
      <c r="H2">
        <f>MAX(B2:E2)</f>
        <v>61000</v>
      </c>
    </row>
    <row r="3" spans="1:9" x14ac:dyDescent="0.25">
      <c r="A3" s="2" t="s">
        <v>6</v>
      </c>
      <c r="B3" s="2">
        <v>30000</v>
      </c>
      <c r="C3" s="2">
        <v>35000</v>
      </c>
      <c r="D3" s="2">
        <v>32000</v>
      </c>
      <c r="E3" s="2">
        <v>40000</v>
      </c>
      <c r="F3">
        <f>SUM(B3:E3)</f>
        <v>137000</v>
      </c>
      <c r="G3">
        <f>AVERAGE(B3:E3)</f>
        <v>34250</v>
      </c>
      <c r="H3">
        <f>MAX(B3:E3)</f>
        <v>40000</v>
      </c>
    </row>
    <row r="4" spans="1:9" x14ac:dyDescent="0.25">
      <c r="A4" s="2" t="s">
        <v>7</v>
      </c>
      <c r="B4" s="2">
        <v>15000</v>
      </c>
      <c r="C4" s="2">
        <v>18000</v>
      </c>
      <c r="D4" s="2">
        <v>17000</v>
      </c>
      <c r="E4" s="2">
        <v>21000</v>
      </c>
      <c r="F4">
        <f>SUM(B4:E4)</f>
        <v>71000</v>
      </c>
      <c r="G4">
        <f>AVERAGE(B4:E4)</f>
        <v>17750</v>
      </c>
      <c r="H4">
        <f>MAX(B4:E4)</f>
        <v>21000</v>
      </c>
    </row>
    <row r="5" spans="1:9" x14ac:dyDescent="0.25">
      <c r="A5" s="2" t="s">
        <v>8</v>
      </c>
      <c r="B5" s="2">
        <v>20000</v>
      </c>
      <c r="C5" s="2">
        <v>22000</v>
      </c>
      <c r="D5" s="2">
        <v>25000</v>
      </c>
      <c r="E5" s="2">
        <v>27000</v>
      </c>
      <c r="F5">
        <f>SUM(B5:E5)</f>
        <v>94000</v>
      </c>
      <c r="G5">
        <f>AVERAGE(B5:E5)</f>
        <v>23500</v>
      </c>
      <c r="H5">
        <f>MAX(B5:E5)</f>
        <v>27000</v>
      </c>
    </row>
    <row r="6" spans="1:9" x14ac:dyDescent="0.25">
      <c r="E6" t="s">
        <v>9</v>
      </c>
      <c r="F6">
        <f>SUM(F2:F5)</f>
        <v>508000</v>
      </c>
    </row>
    <row r="7" spans="1:9" x14ac:dyDescent="0.25">
      <c r="F7">
        <f>MAX(F2:F5)</f>
        <v>206000</v>
      </c>
    </row>
    <row r="8" spans="1:9" x14ac:dyDescent="0.25">
      <c r="B8" t="s">
        <v>12</v>
      </c>
    </row>
    <row r="9" spans="1:9" x14ac:dyDescent="0.25">
      <c r="A9" t="s">
        <v>1</v>
      </c>
      <c r="B9">
        <f>SUM(B2:B5)</f>
        <v>110000</v>
      </c>
      <c r="C9">
        <f>MAX(B9:B12)</f>
        <v>149000</v>
      </c>
    </row>
    <row r="10" spans="1:9" x14ac:dyDescent="0.25">
      <c r="A10" t="s">
        <v>2</v>
      </c>
      <c r="B10">
        <f>SUM(C2:C5)</f>
        <v>127000</v>
      </c>
    </row>
    <row r="11" spans="1:9" x14ac:dyDescent="0.25">
      <c r="A11" t="s">
        <v>13</v>
      </c>
      <c r="B11">
        <f>SUM(D2:D5)</f>
        <v>122000</v>
      </c>
    </row>
    <row r="12" spans="1:9" x14ac:dyDescent="0.25">
      <c r="A12" t="s">
        <v>14</v>
      </c>
      <c r="B12">
        <f>SUM(E2:E5)</f>
        <v>149000</v>
      </c>
    </row>
    <row r="13" spans="1:9" x14ac:dyDescent="0.25">
      <c r="A13" t="s">
        <v>15</v>
      </c>
      <c r="C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73D3-47C1-495B-9554-1334233945B0}">
  <dimension ref="A1:G9"/>
  <sheetViews>
    <sheetView topLeftCell="A3" workbookViewId="0">
      <selection activeCell="E14" sqref="E14"/>
    </sheetView>
  </sheetViews>
  <sheetFormatPr defaultRowHeight="15" x14ac:dyDescent="0.25"/>
  <cols>
    <col min="1" max="1" width="15.140625" customWidth="1"/>
    <col min="2" max="2" width="19.85546875" customWidth="1"/>
    <col min="3" max="3" width="16.140625" customWidth="1"/>
    <col min="4" max="4" width="15.28515625" customWidth="1"/>
    <col min="5" max="5" width="17.85546875" customWidth="1"/>
    <col min="6" max="6" width="21.5703125" customWidth="1"/>
    <col min="7" max="7" width="20.28515625" customWidth="1"/>
  </cols>
  <sheetData>
    <row r="1" spans="1:7" ht="30" x14ac:dyDescent="0.25">
      <c r="A1" s="1" t="s">
        <v>17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28</v>
      </c>
      <c r="G1" s="1" t="s">
        <v>29</v>
      </c>
    </row>
    <row r="2" spans="1:7" x14ac:dyDescent="0.25">
      <c r="A2" s="2" t="s">
        <v>19</v>
      </c>
      <c r="B2" s="2" t="s">
        <v>20</v>
      </c>
      <c r="C2" s="2">
        <v>85</v>
      </c>
      <c r="D2" s="2">
        <v>78</v>
      </c>
      <c r="E2" s="2">
        <v>90</v>
      </c>
      <c r="F2">
        <f t="shared" ref="F2:F7" si="0">SUM(C2:E2)</f>
        <v>253</v>
      </c>
      <c r="G2">
        <f t="shared" ref="G2:G7" si="1">AVERAGE(C2:E2)</f>
        <v>84.333333333333329</v>
      </c>
    </row>
    <row r="3" spans="1:7" x14ac:dyDescent="0.25">
      <c r="A3" s="2" t="s">
        <v>21</v>
      </c>
      <c r="B3" s="2" t="s">
        <v>22</v>
      </c>
      <c r="C3" s="2">
        <v>70</v>
      </c>
      <c r="D3" s="2">
        <v>75</v>
      </c>
      <c r="E3" s="2">
        <v>72</v>
      </c>
      <c r="F3">
        <f t="shared" si="0"/>
        <v>217</v>
      </c>
      <c r="G3">
        <f t="shared" si="1"/>
        <v>72.333333333333329</v>
      </c>
    </row>
    <row r="4" spans="1:7" x14ac:dyDescent="0.25">
      <c r="A4" s="2" t="s">
        <v>23</v>
      </c>
      <c r="B4" s="2" t="s">
        <v>24</v>
      </c>
      <c r="C4" s="2">
        <v>88</v>
      </c>
      <c r="D4" s="2">
        <v>92</v>
      </c>
      <c r="E4" s="2">
        <v>85</v>
      </c>
      <c r="F4">
        <f t="shared" si="0"/>
        <v>265</v>
      </c>
      <c r="G4">
        <f t="shared" si="1"/>
        <v>88.333333333333329</v>
      </c>
    </row>
    <row r="5" spans="1:7" x14ac:dyDescent="0.25">
      <c r="A5" s="2" t="s">
        <v>25</v>
      </c>
      <c r="B5" s="2" t="s">
        <v>20</v>
      </c>
      <c r="C5" s="2">
        <v>60</v>
      </c>
      <c r="D5" s="2">
        <v>65</v>
      </c>
      <c r="E5" s="2">
        <v>70</v>
      </c>
      <c r="F5">
        <f t="shared" si="0"/>
        <v>195</v>
      </c>
      <c r="G5">
        <f t="shared" si="1"/>
        <v>65</v>
      </c>
    </row>
    <row r="6" spans="1:7" x14ac:dyDescent="0.25">
      <c r="A6" s="2" t="s">
        <v>26</v>
      </c>
      <c r="B6" s="2" t="s">
        <v>24</v>
      </c>
      <c r="C6" s="2">
        <v>95</v>
      </c>
      <c r="D6" s="2">
        <v>89</v>
      </c>
      <c r="E6" s="2">
        <v>94</v>
      </c>
      <c r="F6">
        <f t="shared" si="0"/>
        <v>278</v>
      </c>
      <c r="G6">
        <f t="shared" si="1"/>
        <v>92.666666666666671</v>
      </c>
    </row>
    <row r="7" spans="1:7" x14ac:dyDescent="0.25">
      <c r="A7" s="2" t="s">
        <v>27</v>
      </c>
      <c r="B7" s="2" t="s">
        <v>22</v>
      </c>
      <c r="C7" s="2">
        <v>82</v>
      </c>
      <c r="D7" s="2">
        <v>80</v>
      </c>
      <c r="E7" s="2">
        <v>85</v>
      </c>
      <c r="F7">
        <f t="shared" si="0"/>
        <v>247</v>
      </c>
      <c r="G7">
        <f t="shared" si="1"/>
        <v>82.333333333333329</v>
      </c>
    </row>
    <row r="8" spans="1:7" x14ac:dyDescent="0.25">
      <c r="E8" t="s">
        <v>30</v>
      </c>
      <c r="F8">
        <f>MAX(F2:F7)</f>
        <v>278</v>
      </c>
      <c r="G8">
        <f>AVERAGE(G2:G7)</f>
        <v>80.833333333333329</v>
      </c>
    </row>
    <row r="9" spans="1:7" x14ac:dyDescent="0.25">
      <c r="E9" t="s">
        <v>31</v>
      </c>
      <c r="F9">
        <f>MIN(F2:F7)</f>
        <v>195</v>
      </c>
      <c r="G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9193-C477-4247-8EF8-05606DC2431A}">
  <sheetPr>
    <tabColor theme="1" tint="0.249977111117893"/>
  </sheetPr>
  <dimension ref="A1:J9"/>
  <sheetViews>
    <sheetView workbookViewId="0">
      <selection activeCell="L16" sqref="L16"/>
    </sheetView>
  </sheetViews>
  <sheetFormatPr defaultRowHeight="15" x14ac:dyDescent="0.25"/>
  <cols>
    <col min="1" max="1" width="9.7109375" bestFit="1" customWidth="1"/>
    <col min="2" max="3" width="6.42578125" bestFit="1" customWidth="1"/>
    <col min="4" max="4" width="6.85546875" bestFit="1" customWidth="1"/>
    <col min="5" max="5" width="6.42578125" bestFit="1" customWidth="1"/>
    <col min="6" max="8" width="6" bestFit="1" customWidth="1"/>
    <col min="9" max="9" width="5.42578125" bestFit="1" customWidth="1"/>
    <col min="10" max="10" width="10.7109375" bestFit="1" customWidth="1"/>
  </cols>
  <sheetData>
    <row r="1" spans="1:10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4" t="s">
        <v>48</v>
      </c>
      <c r="J1" s="3" t="s">
        <v>49</v>
      </c>
    </row>
    <row r="2" spans="1:10" x14ac:dyDescent="0.25">
      <c r="A2" s="5" t="s">
        <v>41</v>
      </c>
      <c r="B2" s="5">
        <v>20</v>
      </c>
      <c r="C2" s="5">
        <v>20</v>
      </c>
      <c r="D2" s="5">
        <v>20</v>
      </c>
      <c r="E2" s="5">
        <v>20</v>
      </c>
      <c r="F2" s="5">
        <v>20</v>
      </c>
      <c r="G2" s="5">
        <v>20</v>
      </c>
      <c r="H2" s="5">
        <v>15</v>
      </c>
      <c r="I2" s="4">
        <f t="shared" ref="I2:I8" si="0">SUM(F2:H2)</f>
        <v>55</v>
      </c>
      <c r="J2" s="6">
        <f t="shared" ref="J2:J7" si="1">I2/I3</f>
        <v>1.375</v>
      </c>
    </row>
    <row r="3" spans="1:10" x14ac:dyDescent="0.25">
      <c r="A3" s="5" t="s">
        <v>42</v>
      </c>
      <c r="B3" s="5">
        <v>15</v>
      </c>
      <c r="C3" s="5">
        <v>17</v>
      </c>
      <c r="D3" s="5">
        <v>18</v>
      </c>
      <c r="E3" s="5">
        <v>19</v>
      </c>
      <c r="F3" s="5">
        <v>20</v>
      </c>
      <c r="G3" s="5">
        <v>5</v>
      </c>
      <c r="H3" s="5">
        <v>15</v>
      </c>
      <c r="I3" s="4">
        <f t="shared" si="0"/>
        <v>40</v>
      </c>
      <c r="J3" s="6">
        <f t="shared" si="1"/>
        <v>0.86956521739130432</v>
      </c>
    </row>
    <row r="4" spans="1:10" x14ac:dyDescent="0.25">
      <c r="A4" s="5" t="s">
        <v>43</v>
      </c>
      <c r="B4" s="5">
        <v>0</v>
      </c>
      <c r="C4" s="5">
        <v>3</v>
      </c>
      <c r="D4" s="5">
        <v>16</v>
      </c>
      <c r="E4" s="5">
        <v>19</v>
      </c>
      <c r="F4" s="5">
        <v>20</v>
      </c>
      <c r="G4" s="5">
        <v>11</v>
      </c>
      <c r="H4" s="5">
        <v>15</v>
      </c>
      <c r="I4" s="4">
        <f t="shared" si="0"/>
        <v>46</v>
      </c>
      <c r="J4" s="6">
        <f t="shared" si="1"/>
        <v>1.069767441860465</v>
      </c>
    </row>
    <row r="5" spans="1:10" x14ac:dyDescent="0.25">
      <c r="A5" s="5" t="s">
        <v>44</v>
      </c>
      <c r="B5" s="5">
        <v>10</v>
      </c>
      <c r="C5" s="5">
        <v>10</v>
      </c>
      <c r="D5" s="5">
        <v>11</v>
      </c>
      <c r="E5" s="5">
        <v>12</v>
      </c>
      <c r="F5" s="5">
        <v>12</v>
      </c>
      <c r="G5" s="5">
        <v>14</v>
      </c>
      <c r="H5" s="5">
        <v>17</v>
      </c>
      <c r="I5" s="4">
        <f t="shared" si="0"/>
        <v>43</v>
      </c>
      <c r="J5" s="6">
        <f t="shared" si="1"/>
        <v>0.71666666666666667</v>
      </c>
    </row>
    <row r="6" spans="1:10" x14ac:dyDescent="0.25">
      <c r="A6" s="5" t="s">
        <v>45</v>
      </c>
      <c r="B6" s="5">
        <v>20</v>
      </c>
      <c r="C6" s="5">
        <v>20</v>
      </c>
      <c r="D6" s="5">
        <v>20</v>
      </c>
      <c r="E6" s="5">
        <v>20</v>
      </c>
      <c r="F6" s="5">
        <v>20</v>
      </c>
      <c r="G6" s="5">
        <v>20</v>
      </c>
      <c r="H6" s="5">
        <v>20</v>
      </c>
      <c r="I6" s="4">
        <f t="shared" si="0"/>
        <v>60</v>
      </c>
      <c r="J6" s="6">
        <f t="shared" si="1"/>
        <v>1.6666666666666667</v>
      </c>
    </row>
    <row r="7" spans="1:10" x14ac:dyDescent="0.25">
      <c r="A7" s="5" t="s">
        <v>46</v>
      </c>
      <c r="B7" s="5">
        <v>20</v>
      </c>
      <c r="C7" s="5">
        <v>20</v>
      </c>
      <c r="D7" s="5">
        <v>20</v>
      </c>
      <c r="E7" s="5">
        <v>20</v>
      </c>
      <c r="F7" s="5">
        <v>11</v>
      </c>
      <c r="G7" s="5">
        <v>12</v>
      </c>
      <c r="H7" s="5">
        <v>13</v>
      </c>
      <c r="I7" s="4">
        <f t="shared" si="0"/>
        <v>36</v>
      </c>
      <c r="J7" s="6">
        <f t="shared" si="1"/>
        <v>0.97297297297297303</v>
      </c>
    </row>
    <row r="8" spans="1:10" x14ac:dyDescent="0.25">
      <c r="A8" s="5" t="s">
        <v>47</v>
      </c>
      <c r="B8" s="5">
        <v>20</v>
      </c>
      <c r="C8" s="5">
        <v>20</v>
      </c>
      <c r="D8" s="5">
        <v>20</v>
      </c>
      <c r="E8" s="5">
        <v>11</v>
      </c>
      <c r="F8" s="5">
        <v>12</v>
      </c>
      <c r="G8" s="5">
        <v>12</v>
      </c>
      <c r="H8" s="5">
        <v>13</v>
      </c>
      <c r="I8" s="4">
        <f t="shared" si="0"/>
        <v>37</v>
      </c>
      <c r="J8" s="6">
        <f>I2/I8</f>
        <v>1.4864864864864864</v>
      </c>
    </row>
    <row r="9" spans="1:10" x14ac:dyDescent="0.25">
      <c r="A9" s="5" t="s">
        <v>10</v>
      </c>
      <c r="B9" s="7">
        <f>AVERAGE(B2:B8)</f>
        <v>15</v>
      </c>
      <c r="C9" s="7">
        <f>AVERAGE(C2:C8)</f>
        <v>15.714285714285714</v>
      </c>
      <c r="D9" s="7">
        <f t="shared" ref="D9:H9" si="2">AVERAGE(D2:D8)</f>
        <v>17.857142857142858</v>
      </c>
      <c r="E9" s="7">
        <f t="shared" si="2"/>
        <v>17.285714285714285</v>
      </c>
      <c r="F9" s="7">
        <f t="shared" si="2"/>
        <v>16.428571428571427</v>
      </c>
      <c r="G9" s="7">
        <f t="shared" si="2"/>
        <v>13.428571428571429</v>
      </c>
      <c r="H9" s="7">
        <f t="shared" si="2"/>
        <v>15.428571428571429</v>
      </c>
      <c r="I9" s="5"/>
      <c r="J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BF19-1650-4775-B326-DF8B457F84E9}">
  <sheetPr>
    <pageSetUpPr fitToPage="1"/>
  </sheetPr>
  <dimension ref="A1:G11"/>
  <sheetViews>
    <sheetView tabSelected="1" workbookViewId="0">
      <selection activeCell="B2" sqref="B2:G4"/>
    </sheetView>
  </sheetViews>
  <sheetFormatPr defaultRowHeight="15" x14ac:dyDescent="0.25"/>
  <cols>
    <col min="1" max="1" width="21.42578125" customWidth="1"/>
    <col min="2" max="6" width="9.5703125" bestFit="1" customWidth="1"/>
    <col min="7" max="7" width="10.5703125" bestFit="1" customWidth="1"/>
  </cols>
  <sheetData>
    <row r="1" spans="1:7" x14ac:dyDescent="0.25">
      <c r="A1" s="8" t="s">
        <v>63</v>
      </c>
      <c r="B1" s="9" t="s">
        <v>50</v>
      </c>
      <c r="C1" s="9" t="s">
        <v>51</v>
      </c>
      <c r="D1" s="9" t="s">
        <v>52</v>
      </c>
      <c r="E1" s="9" t="s">
        <v>53</v>
      </c>
      <c r="F1" s="9" t="s">
        <v>54</v>
      </c>
      <c r="G1" s="9" t="s">
        <v>58</v>
      </c>
    </row>
    <row r="2" spans="1:7" x14ac:dyDescent="0.25">
      <c r="A2" s="10" t="s">
        <v>55</v>
      </c>
      <c r="B2" s="16">
        <f>B9</f>
        <v>5000</v>
      </c>
      <c r="C2" s="16">
        <f>B2*$B$10</f>
        <v>5250</v>
      </c>
      <c r="D2" s="16">
        <f t="shared" ref="D2:E2" si="0">C2*$B$10</f>
        <v>5512.5</v>
      </c>
      <c r="E2" s="16">
        <f t="shared" si="0"/>
        <v>5788.125</v>
      </c>
      <c r="F2" s="16">
        <f>E2*$B$10</f>
        <v>6077.53125</v>
      </c>
      <c r="G2" s="16">
        <f>SUM(B2:F2)</f>
        <v>27628.15625</v>
      </c>
    </row>
    <row r="3" spans="1:7" x14ac:dyDescent="0.25">
      <c r="A3" s="10" t="s">
        <v>56</v>
      </c>
      <c r="B3" s="16">
        <f>B2*$B$11</f>
        <v>3250</v>
      </c>
      <c r="C3" s="16">
        <f t="shared" ref="C3:F3" si="1">C2*$B$11</f>
        <v>3412.5</v>
      </c>
      <c r="D3" s="16">
        <f t="shared" si="1"/>
        <v>3583.125</v>
      </c>
      <c r="E3" s="16">
        <f t="shared" si="1"/>
        <v>3762.28125</v>
      </c>
      <c r="F3" s="16">
        <f>F2*$B$11</f>
        <v>3950.3953125000003</v>
      </c>
      <c r="G3" s="16">
        <f>SUM(B3:F3)</f>
        <v>17958.301562500001</v>
      </c>
    </row>
    <row r="4" spans="1:7" x14ac:dyDescent="0.25">
      <c r="A4" s="10" t="s">
        <v>57</v>
      </c>
      <c r="B4" s="16">
        <f>B2-$B$3</f>
        <v>1750</v>
      </c>
      <c r="C4" s="16">
        <f t="shared" ref="C4:F4" si="2">C2-$B$3</f>
        <v>2000</v>
      </c>
      <c r="D4" s="16">
        <f t="shared" si="2"/>
        <v>2262.5</v>
      </c>
      <c r="E4" s="16">
        <f t="shared" si="2"/>
        <v>2538.125</v>
      </c>
      <c r="F4" s="16">
        <f>F2-B3</f>
        <v>2827.53125</v>
      </c>
      <c r="G4" s="16">
        <f>SUM(B4:F4)</f>
        <v>11378.15625</v>
      </c>
    </row>
    <row r="8" spans="1:7" ht="16.5" x14ac:dyDescent="0.3">
      <c r="A8" s="11" t="s">
        <v>59</v>
      </c>
      <c r="B8" s="12"/>
    </row>
    <row r="9" spans="1:7" x14ac:dyDescent="0.25">
      <c r="A9" s="5" t="s">
        <v>60</v>
      </c>
      <c r="B9" s="13">
        <v>5000</v>
      </c>
    </row>
    <row r="10" spans="1:7" x14ac:dyDescent="0.25">
      <c r="A10" s="5" t="s">
        <v>61</v>
      </c>
      <c r="B10" s="15">
        <v>1.05</v>
      </c>
    </row>
    <row r="11" spans="1:7" x14ac:dyDescent="0.25">
      <c r="A11" s="5" t="s">
        <v>62</v>
      </c>
      <c r="B11" s="14">
        <v>0.65</v>
      </c>
    </row>
  </sheetData>
  <phoneticPr fontId="6" type="noConversion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Test Book 1</vt:lpstr>
      <vt:lpstr>2025 JAN-MAY FINACAL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</dc:creator>
  <cp:lastModifiedBy>Vishwanath</cp:lastModifiedBy>
  <cp:lastPrinted>2026-02-14T05:02:20Z</cp:lastPrinted>
  <dcterms:created xsi:type="dcterms:W3CDTF">2026-02-13T11:59:19Z</dcterms:created>
  <dcterms:modified xsi:type="dcterms:W3CDTF">2026-02-14T05:09:25Z</dcterms:modified>
</cp:coreProperties>
</file>