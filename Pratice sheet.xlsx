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m\OneDrive\Desktop\Excel\"/>
    </mc:Choice>
  </mc:AlternateContent>
  <xr:revisionPtr revIDLastSave="0" documentId="13_ncr:1_{E6FE46BA-C5A9-41B9-A125-43DA8E6A8606}" xr6:coauthVersionLast="47" xr6:coauthVersionMax="47" xr10:uidLastSave="{00000000-0000-0000-0000-000000000000}"/>
  <bookViews>
    <workbookView xWindow="-110" yWindow="-110" windowWidth="19420" windowHeight="10300" activeTab="2" xr2:uid="{5302BE36-0E86-45E4-9EEE-6687E68765EF}"/>
  </bookViews>
  <sheets>
    <sheet name="Pratice sheet" sheetId="1" r:id="rId1"/>
    <sheet name="SUM PRTATICE SHEET" sheetId="2" r:id="rId2"/>
    <sheet name="CountIF pratice sheet" sheetId="3" r:id="rId3"/>
    <sheet name="Countifs Pratice Sheet" sheetId="4" r:id="rId4"/>
    <sheet name="Combination of everyth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D17" i="5"/>
  <c r="F15" i="5"/>
  <c r="E15" i="5"/>
  <c r="D16" i="5"/>
  <c r="D15" i="5"/>
  <c r="C16" i="5"/>
  <c r="C15" i="5"/>
  <c r="B18" i="5"/>
  <c r="B17" i="5"/>
  <c r="B16" i="5"/>
  <c r="B15" i="5"/>
  <c r="A17" i="5"/>
  <c r="A16" i="5"/>
  <c r="A15" i="5"/>
  <c r="A18" i="4"/>
  <c r="B11" i="4"/>
  <c r="C12" i="4"/>
  <c r="C11" i="4"/>
  <c r="B14" i="4"/>
  <c r="B13" i="4"/>
  <c r="B12" i="4"/>
  <c r="A14" i="4"/>
  <c r="A13" i="4"/>
  <c r="A12" i="4"/>
  <c r="A11" i="4"/>
  <c r="B23" i="3"/>
  <c r="C21" i="3"/>
  <c r="C20" i="3"/>
  <c r="C18" i="3"/>
  <c r="C17" i="3"/>
  <c r="C19" i="3"/>
  <c r="C15" i="3"/>
  <c r="C14" i="3"/>
  <c r="C13" i="3"/>
  <c r="C12" i="3"/>
  <c r="C22" i="2"/>
  <c r="C21" i="2"/>
  <c r="C20" i="2"/>
  <c r="C18" i="2"/>
  <c r="C17" i="2"/>
  <c r="C16" i="2"/>
  <c r="D14" i="2"/>
  <c r="D13" i="2"/>
  <c r="C12" i="2"/>
  <c r="F30" i="1"/>
  <c r="F28" i="1"/>
  <c r="G26" i="1"/>
  <c r="E24" i="1"/>
  <c r="E22" i="1"/>
  <c r="E13" i="1"/>
  <c r="G18" i="1"/>
  <c r="E15" i="1"/>
</calcChain>
</file>

<file path=xl/sharedStrings.xml><?xml version="1.0" encoding="utf-8"?>
<sst xmlns="http://schemas.openxmlformats.org/spreadsheetml/2006/main" count="190" uniqueCount="68">
  <si>
    <t>A (Name)</t>
  </si>
  <si>
    <t>B (Age)</t>
  </si>
  <si>
    <t>C (Department)</t>
  </si>
  <si>
    <t>D (Salary)</t>
  </si>
  <si>
    <t>Rahul</t>
  </si>
  <si>
    <t>IT</t>
  </si>
  <si>
    <t>Sneha</t>
  </si>
  <si>
    <t>HR</t>
  </si>
  <si>
    <t>Arjun</t>
  </si>
  <si>
    <t>Priya</t>
  </si>
  <si>
    <t>Sales</t>
  </si>
  <si>
    <t>Amit</t>
  </si>
  <si>
    <t>(blank)</t>
  </si>
  <si>
    <t>Neha</t>
  </si>
  <si>
    <t>Karan</t>
  </si>
  <si>
    <t>Meera</t>
  </si>
  <si>
    <t>How many employees have Age entered?</t>
  </si>
  <si>
    <t>How many Salary values are entered?</t>
  </si>
  <si>
    <t>How many total numeric values exist in the Age column?</t>
  </si>
  <si>
    <t>COUNTA</t>
  </si>
  <si>
    <t>How many employee names are entered?</t>
  </si>
  <si>
    <t>How many departments are filled?</t>
  </si>
  <si>
    <t>How many total non-blank cells are there in the Salary column?</t>
  </si>
  <si>
    <r>
      <t xml:space="preserve">What will </t>
    </r>
    <r>
      <rPr>
        <sz val="10"/>
        <color theme="1"/>
        <rFont val="Arial Unicode MS"/>
      </rPr>
      <t>=COUNT(A2:A9)</t>
    </r>
    <r>
      <rPr>
        <sz val="11"/>
        <color theme="1"/>
        <rFont val="Aptos Narrow"/>
        <family val="2"/>
        <scheme val="minor"/>
      </rPr>
      <t xml:space="preserve"> return? Why?</t>
    </r>
  </si>
  <si>
    <t>Becaue count always use number to count</t>
  </si>
  <si>
    <r>
      <t xml:space="preserve">What will </t>
    </r>
    <r>
      <rPr>
        <sz val="10"/>
        <color theme="1"/>
        <rFont val="Arial Unicode MS"/>
      </rPr>
      <t>=COUNTA(B2:B9)</t>
    </r>
    <r>
      <rPr>
        <sz val="11"/>
        <color theme="1"/>
        <rFont val="Aptos Narrow"/>
        <family val="2"/>
        <scheme val="minor"/>
      </rPr>
      <t xml:space="preserve"> return? Why?</t>
    </r>
  </si>
  <si>
    <t>Becaue its does not count blank cell</t>
  </si>
  <si>
    <t>PART 3</t>
  </si>
  <si>
    <t>If one more blank name is added at the bottom, what happens to COUNT and COUNTA?</t>
  </si>
  <si>
    <t>COUNT is used to count only number so its suppose to give me 0</t>
  </si>
  <si>
    <t>COUNTA is used give me 7 because BLANK CELL does not count the EMPTY CELL</t>
  </si>
  <si>
    <t>B (Department)</t>
  </si>
  <si>
    <t>C (Region)</t>
  </si>
  <si>
    <t>North</t>
  </si>
  <si>
    <t>South</t>
  </si>
  <si>
    <t>West</t>
  </si>
  <si>
    <t>What is the total salary of all employees?</t>
  </si>
  <si>
    <t>What is the total salary of the first 4 employees only?</t>
  </si>
  <si>
    <t>What is the total salary of employees from row 3 to row 6?</t>
  </si>
  <si>
    <t>Total salary of IT department</t>
  </si>
  <si>
    <t>Total salary of HR department</t>
  </si>
  <si>
    <t>Total salary of employees in South region</t>
  </si>
  <si>
    <t>Total salary greater than 50,000</t>
  </si>
  <si>
    <t>Total salary less than 48,000</t>
  </si>
  <si>
    <t>Total salary equal to 49,000</t>
  </si>
  <si>
    <t>What will happen if you use:</t>
  </si>
  <si>
    <t>IT doesn’t print because SUM only adds the numbers</t>
  </si>
  <si>
    <t>Count employees in IT department</t>
  </si>
  <si>
    <t>Count employees in HR department</t>
  </si>
  <si>
    <t>Count employees in South region</t>
  </si>
  <si>
    <t>1. Count employees in Sales department</t>
  </si>
  <si>
    <t>Count salaries greater than 50,000</t>
  </si>
  <si>
    <t>Count salaries less than 48,000</t>
  </si>
  <si>
    <t>Count salaries equal to 49,000</t>
  </si>
  <si>
    <t>Count salaries greater than or equal to 51,000</t>
  </si>
  <si>
    <t>B (Dept)</t>
  </si>
  <si>
    <t>E (Experience Years)</t>
  </si>
  <si>
    <t>D (Sales)</t>
  </si>
  <si>
    <t>E (Month)</t>
  </si>
  <si>
    <t>Jan</t>
  </si>
  <si>
    <t>Feb</t>
  </si>
  <si>
    <t>Rohan</t>
  </si>
  <si>
    <t>Divya</t>
  </si>
  <si>
    <t>PART 1 — COUNT</t>
  </si>
  <si>
    <t>PART 2-COUNTIF</t>
  </si>
  <si>
    <t>PART 3 SUM</t>
  </si>
  <si>
    <t>PART 4 SUMIF</t>
  </si>
  <si>
    <t>Thinking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</si>
</sst>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6055-C784-4B7A-B266-2E85738E4487}">
  <dimension ref="A1:G36"/>
  <sheetViews>
    <sheetView topLeftCell="A23" workbookViewId="0">
      <selection activeCell="A36" sqref="A36"/>
    </sheetView>
  </sheetViews>
  <sheetFormatPr defaultRowHeight="14.5"/>
  <sheetData>
    <row r="1" spans="1:5" ht="43.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 t="s">
        <v>4</v>
      </c>
      <c r="B2" s="2">
        <v>23</v>
      </c>
      <c r="C2" s="2" t="s">
        <v>5</v>
      </c>
      <c r="D2" s="2">
        <v>50000</v>
      </c>
    </row>
    <row r="3" spans="1:5">
      <c r="A3" s="2" t="s">
        <v>6</v>
      </c>
      <c r="B3" s="2">
        <v>25</v>
      </c>
      <c r="C3" s="2" t="s">
        <v>7</v>
      </c>
      <c r="D3" s="2">
        <v>45000</v>
      </c>
    </row>
    <row r="4" spans="1:5">
      <c r="A4" s="2" t="s">
        <v>8</v>
      </c>
      <c r="B4" s="2">
        <v>22</v>
      </c>
      <c r="C4" s="2" t="s">
        <v>5</v>
      </c>
      <c r="D4" s="2">
        <v>52000</v>
      </c>
    </row>
    <row r="5" spans="1:5">
      <c r="A5" s="2" t="s">
        <v>9</v>
      </c>
      <c r="B5" s="2">
        <v>24</v>
      </c>
      <c r="C5" s="2" t="s">
        <v>10</v>
      </c>
      <c r="D5" s="2">
        <v>48000</v>
      </c>
    </row>
    <row r="6" spans="1:5">
      <c r="A6" s="2" t="s">
        <v>11</v>
      </c>
      <c r="B6" s="2"/>
      <c r="C6" s="2" t="s">
        <v>5</v>
      </c>
      <c r="D6" s="2">
        <v>51000</v>
      </c>
    </row>
    <row r="7" spans="1:5">
      <c r="A7" s="2" t="s">
        <v>13</v>
      </c>
      <c r="B7" s="2">
        <v>26</v>
      </c>
      <c r="C7" s="2" t="s">
        <v>7</v>
      </c>
      <c r="D7" s="2">
        <v>47000</v>
      </c>
    </row>
    <row r="8" spans="1:5">
      <c r="A8" s="2" t="s">
        <v>14</v>
      </c>
      <c r="B8" s="2">
        <v>23</v>
      </c>
      <c r="C8" s="2" t="s">
        <v>10</v>
      </c>
      <c r="D8" s="2"/>
    </row>
    <row r="9" spans="1:5">
      <c r="A9" s="2" t="s">
        <v>15</v>
      </c>
      <c r="B9" s="2">
        <v>24</v>
      </c>
      <c r="C9" s="2" t="s">
        <v>5</v>
      </c>
      <c r="D9" s="2">
        <v>53000</v>
      </c>
    </row>
    <row r="13" spans="1:5">
      <c r="A13" t="s">
        <v>16</v>
      </c>
      <c r="E13">
        <f>COUNT(B2:B9)</f>
        <v>7</v>
      </c>
    </row>
    <row r="15" spans="1:5">
      <c r="A15" t="s">
        <v>17</v>
      </c>
      <c r="E15">
        <f>COUNTA(D2:D9)</f>
        <v>7</v>
      </c>
    </row>
    <row r="18" spans="1:7">
      <c r="A18" t="s">
        <v>18</v>
      </c>
      <c r="G18">
        <f>COUNT(B2:B9)</f>
        <v>7</v>
      </c>
    </row>
    <row r="21" spans="1:7">
      <c r="A21" t="s">
        <v>19</v>
      </c>
    </row>
    <row r="22" spans="1:7">
      <c r="A22" t="s">
        <v>20</v>
      </c>
      <c r="E22">
        <f>COUNTA(A2:A9)</f>
        <v>8</v>
      </c>
    </row>
    <row r="24" spans="1:7">
      <c r="A24" t="s">
        <v>21</v>
      </c>
      <c r="E24">
        <f>COUNTA(C2:C9)</f>
        <v>8</v>
      </c>
    </row>
    <row r="26" spans="1:7">
      <c r="A26" t="s">
        <v>22</v>
      </c>
      <c r="G26">
        <f>COUNTA(D2:D9)</f>
        <v>7</v>
      </c>
    </row>
    <row r="27" spans="1:7">
      <c r="A27" t="s">
        <v>27</v>
      </c>
    </row>
    <row r="28" spans="1:7">
      <c r="A28" t="s">
        <v>23</v>
      </c>
      <c r="F28">
        <f>COUNT(A2:A9)</f>
        <v>0</v>
      </c>
      <c r="G28" t="s">
        <v>24</v>
      </c>
    </row>
    <row r="30" spans="1:7">
      <c r="A30" t="s">
        <v>25</v>
      </c>
      <c r="F30">
        <f>COUNTA(B2:B9)</f>
        <v>7</v>
      </c>
      <c r="G30" t="s">
        <v>26</v>
      </c>
    </row>
    <row r="33" spans="1:1">
      <c r="A33" t="s">
        <v>28</v>
      </c>
    </row>
    <row r="35" spans="1:1">
      <c r="A35" t="s">
        <v>29</v>
      </c>
    </row>
    <row r="36" spans="1:1">
      <c r="A3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BE0F-B51B-4BEB-B86F-081B02BFDA53}">
  <dimension ref="A1:D24"/>
  <sheetViews>
    <sheetView topLeftCell="A10" workbookViewId="0">
      <selection activeCell="H27" sqref="H27"/>
    </sheetView>
  </sheetViews>
  <sheetFormatPr defaultRowHeight="14.5"/>
  <cols>
    <col min="1" max="1" width="15.54296875" customWidth="1"/>
    <col min="2" max="2" width="20.26953125" customWidth="1"/>
    <col min="3" max="3" width="19.36328125" customWidth="1"/>
    <col min="4" max="4" width="26.26953125" customWidth="1"/>
  </cols>
  <sheetData>
    <row r="1" spans="1:4">
      <c r="A1" s="1" t="s">
        <v>0</v>
      </c>
      <c r="B1" s="1" t="s">
        <v>31</v>
      </c>
      <c r="C1" s="1" t="s">
        <v>32</v>
      </c>
      <c r="D1" s="4" t="s">
        <v>3</v>
      </c>
    </row>
    <row r="2" spans="1:4">
      <c r="A2" s="2" t="s">
        <v>4</v>
      </c>
      <c r="B2" s="2" t="s">
        <v>5</v>
      </c>
      <c r="C2" s="2" t="s">
        <v>33</v>
      </c>
      <c r="D2" s="2">
        <v>50000</v>
      </c>
    </row>
    <row r="3" spans="1:4">
      <c r="A3" s="2" t="s">
        <v>6</v>
      </c>
      <c r="B3" s="2" t="s">
        <v>7</v>
      </c>
      <c r="C3" s="2" t="s">
        <v>34</v>
      </c>
      <c r="D3" s="2">
        <v>45000</v>
      </c>
    </row>
    <row r="4" spans="1:4">
      <c r="A4" s="2" t="s">
        <v>8</v>
      </c>
      <c r="B4" s="2" t="s">
        <v>5</v>
      </c>
      <c r="C4" s="2" t="s">
        <v>33</v>
      </c>
      <c r="D4" s="2">
        <v>52000</v>
      </c>
    </row>
    <row r="5" spans="1:4">
      <c r="A5" s="2" t="s">
        <v>9</v>
      </c>
      <c r="B5" s="2" t="s">
        <v>10</v>
      </c>
      <c r="C5" s="2" t="s">
        <v>35</v>
      </c>
      <c r="D5" s="2">
        <v>48000</v>
      </c>
    </row>
    <row r="6" spans="1:4">
      <c r="A6" s="2" t="s">
        <v>11</v>
      </c>
      <c r="B6" s="2" t="s">
        <v>5</v>
      </c>
      <c r="C6" s="2" t="s">
        <v>34</v>
      </c>
      <c r="D6" s="2">
        <v>51000</v>
      </c>
    </row>
    <row r="7" spans="1:4">
      <c r="A7" s="2" t="s">
        <v>13</v>
      </c>
      <c r="B7" s="2" t="s">
        <v>7</v>
      </c>
      <c r="C7" s="2" t="s">
        <v>33</v>
      </c>
      <c r="D7" s="2">
        <v>47000</v>
      </c>
    </row>
    <row r="8" spans="1:4">
      <c r="A8" s="2" t="s">
        <v>14</v>
      </c>
      <c r="B8" s="2" t="s">
        <v>10</v>
      </c>
      <c r="C8" s="2" t="s">
        <v>34</v>
      </c>
      <c r="D8" s="2">
        <v>49000</v>
      </c>
    </row>
    <row r="9" spans="1:4">
      <c r="A9" s="2" t="s">
        <v>15</v>
      </c>
      <c r="B9" s="2" t="s">
        <v>5</v>
      </c>
      <c r="C9" s="2" t="s">
        <v>35</v>
      </c>
      <c r="D9" s="2">
        <v>53000</v>
      </c>
    </row>
    <row r="12" spans="1:4">
      <c r="A12" t="s">
        <v>36</v>
      </c>
      <c r="C12">
        <f>SUM(D2:D9)</f>
        <v>395000</v>
      </c>
    </row>
    <row r="13" spans="1:4">
      <c r="A13" t="s">
        <v>37</v>
      </c>
      <c r="D13">
        <f>SUM(D2:D5)</f>
        <v>195000</v>
      </c>
    </row>
    <row r="14" spans="1:4">
      <c r="A14" t="s">
        <v>38</v>
      </c>
      <c r="D14">
        <f>SUM(D4:D7)</f>
        <v>198000</v>
      </c>
    </row>
    <row r="16" spans="1:4">
      <c r="A16" t="s">
        <v>39</v>
      </c>
      <c r="C16">
        <f>SUMIF(B2:B9,"IT",D2:D9)</f>
        <v>206000</v>
      </c>
    </row>
    <row r="17" spans="1:3">
      <c r="A17" t="s">
        <v>40</v>
      </c>
      <c r="C17">
        <f>SUMIF(B2:B9,"HR",D2:D9)</f>
        <v>92000</v>
      </c>
    </row>
    <row r="18" spans="1:3">
      <c r="A18" t="s">
        <v>41</v>
      </c>
      <c r="C18">
        <f>SUMIF(C2:C9,"South",D2:D9)</f>
        <v>145000</v>
      </c>
    </row>
    <row r="20" spans="1:3">
      <c r="A20" t="s">
        <v>42</v>
      </c>
      <c r="C20">
        <f>SUMIF(D2:D9,"&gt;50000")</f>
        <v>156000</v>
      </c>
    </row>
    <row r="21" spans="1:3">
      <c r="A21" t="s">
        <v>43</v>
      </c>
      <c r="C21">
        <f>SUMIF(D2:D9,"&lt;480000")</f>
        <v>395000</v>
      </c>
    </row>
    <row r="22" spans="1:3">
      <c r="A22" t="s">
        <v>44</v>
      </c>
      <c r="C22">
        <f>SUMIF(D2:D9,"=490000")</f>
        <v>0</v>
      </c>
    </row>
    <row r="24" spans="1:3">
      <c r="A24" t="s">
        <v>45</v>
      </c>
      <c r="C2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E4B7-0FD9-4AB8-AB84-E96E4D93CC00}">
  <dimension ref="A1:D23"/>
  <sheetViews>
    <sheetView tabSelected="1" topLeftCell="A10" workbookViewId="0">
      <selection activeCell="B24" sqref="B24"/>
    </sheetView>
  </sheetViews>
  <sheetFormatPr defaultRowHeight="16"/>
  <cols>
    <col min="1" max="1" width="16.90625" customWidth="1"/>
    <col min="2" max="2" width="19.26953125" style="7" customWidth="1"/>
    <col min="3" max="3" width="13.08984375" customWidth="1"/>
    <col min="4" max="4" width="17.1796875" customWidth="1"/>
  </cols>
  <sheetData>
    <row r="1" spans="1:4">
      <c r="A1" s="5" t="s">
        <v>0</v>
      </c>
      <c r="B1" s="5" t="s">
        <v>31</v>
      </c>
      <c r="C1" s="5" t="s">
        <v>32</v>
      </c>
      <c r="D1" s="1" t="s">
        <v>3</v>
      </c>
    </row>
    <row r="2" spans="1:4">
      <c r="A2" s="2" t="s">
        <v>4</v>
      </c>
      <c r="B2" s="6" t="s">
        <v>5</v>
      </c>
      <c r="C2" s="2" t="s">
        <v>33</v>
      </c>
      <c r="D2" s="2">
        <v>50000</v>
      </c>
    </row>
    <row r="3" spans="1:4">
      <c r="A3" s="2" t="s">
        <v>6</v>
      </c>
      <c r="B3" s="6" t="s">
        <v>7</v>
      </c>
      <c r="C3" s="2" t="s">
        <v>34</v>
      </c>
      <c r="D3" s="2">
        <v>45000</v>
      </c>
    </row>
    <row r="4" spans="1:4">
      <c r="A4" s="2" t="s">
        <v>8</v>
      </c>
      <c r="B4" s="6" t="s">
        <v>5</v>
      </c>
      <c r="C4" s="2" t="s">
        <v>33</v>
      </c>
      <c r="D4" s="2">
        <v>52000</v>
      </c>
    </row>
    <row r="5" spans="1:4">
      <c r="A5" s="2" t="s">
        <v>9</v>
      </c>
      <c r="B5" s="6" t="s">
        <v>10</v>
      </c>
      <c r="C5" s="2" t="s">
        <v>35</v>
      </c>
      <c r="D5" s="2">
        <v>48000</v>
      </c>
    </row>
    <row r="6" spans="1:4">
      <c r="A6" s="2" t="s">
        <v>11</v>
      </c>
      <c r="B6" s="6" t="s">
        <v>5</v>
      </c>
      <c r="C6" s="2" t="s">
        <v>34</v>
      </c>
      <c r="D6" s="2">
        <v>51000</v>
      </c>
    </row>
    <row r="7" spans="1:4">
      <c r="A7" s="2" t="s">
        <v>13</v>
      </c>
      <c r="B7" s="6" t="s">
        <v>7</v>
      </c>
      <c r="C7" s="2" t="s">
        <v>33</v>
      </c>
      <c r="D7" s="2">
        <v>47000</v>
      </c>
    </row>
    <row r="8" spans="1:4">
      <c r="A8" s="2" t="s">
        <v>14</v>
      </c>
      <c r="B8" s="6" t="s">
        <v>10</v>
      </c>
      <c r="C8" s="2" t="s">
        <v>34</v>
      </c>
      <c r="D8" s="2">
        <v>49000</v>
      </c>
    </row>
    <row r="9" spans="1:4">
      <c r="A9" s="2" t="s">
        <v>15</v>
      </c>
      <c r="B9" s="6" t="s">
        <v>5</v>
      </c>
      <c r="C9" s="2" t="s">
        <v>35</v>
      </c>
      <c r="D9" s="2">
        <v>53000</v>
      </c>
    </row>
    <row r="12" spans="1:4">
      <c r="A12" t="s">
        <v>47</v>
      </c>
      <c r="C12">
        <f>COUNTIF(B2:B9,"IT")</f>
        <v>4</v>
      </c>
    </row>
    <row r="13" spans="1:4">
      <c r="A13" t="s">
        <v>48</v>
      </c>
      <c r="C13">
        <f>COUNTIF(B2:B9,"HR")</f>
        <v>2</v>
      </c>
    </row>
    <row r="14" spans="1:4">
      <c r="A14" t="s">
        <v>49</v>
      </c>
      <c r="C14">
        <f>COUNTIF(C2:C9,"south")</f>
        <v>3</v>
      </c>
    </row>
    <row r="15" spans="1:4">
      <c r="A15" s="8" t="s">
        <v>50</v>
      </c>
      <c r="C15">
        <f>COUNTIF(B2:B9,"Sales")</f>
        <v>2</v>
      </c>
    </row>
    <row r="17" spans="1:3">
      <c r="A17" t="s">
        <v>51</v>
      </c>
      <c r="C17">
        <f>COUNTIF(D2:D9,"&gt;50000")</f>
        <v>3</v>
      </c>
    </row>
    <row r="18" spans="1:3">
      <c r="A18" t="s">
        <v>52</v>
      </c>
      <c r="C18">
        <f>COUNTIF(D2:D9,"&lt;48000")</f>
        <v>2</v>
      </c>
    </row>
    <row r="19" spans="1:3">
      <c r="A19" t="s">
        <v>53</v>
      </c>
      <c r="C19">
        <f>COUNTIF(D2:D9,"49000")</f>
        <v>1</v>
      </c>
    </row>
    <row r="20" spans="1:3">
      <c r="A20" t="s">
        <v>54</v>
      </c>
      <c r="C20">
        <f>COUNTIF(D2:D9,"&gt;=510000")</f>
        <v>0</v>
      </c>
    </row>
    <row r="21" spans="1:3">
      <c r="C21">
        <f>COUNTIF(D2:D9,"50000")</f>
        <v>1</v>
      </c>
    </row>
    <row r="23" spans="1:3">
      <c r="B23" s="7">
        <f>COUNTIF(D2:D9,"&gt;=50000")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89CA-178D-4DBE-87DC-EA801C4BE29E}">
  <dimension ref="A1:E18"/>
  <sheetViews>
    <sheetView workbookViewId="0">
      <selection activeCell="A19" sqref="A19"/>
    </sheetView>
  </sheetViews>
  <sheetFormatPr defaultRowHeight="14.5"/>
  <cols>
    <col min="1" max="1" width="12.1796875" customWidth="1"/>
    <col min="2" max="2" width="13.7265625" customWidth="1"/>
    <col min="3" max="3" width="12.08984375" customWidth="1"/>
    <col min="4" max="4" width="12.54296875" customWidth="1"/>
    <col min="5" max="5" width="13.1796875" customWidth="1"/>
  </cols>
  <sheetData>
    <row r="1" spans="1:5" ht="26">
      <c r="A1" s="1" t="s">
        <v>0</v>
      </c>
      <c r="B1" s="1" t="s">
        <v>55</v>
      </c>
      <c r="C1" s="1" t="s">
        <v>32</v>
      </c>
      <c r="D1" s="1" t="s">
        <v>3</v>
      </c>
      <c r="E1" s="3" t="s">
        <v>56</v>
      </c>
    </row>
    <row r="2" spans="1:5">
      <c r="A2" s="2" t="s">
        <v>4</v>
      </c>
      <c r="B2" s="2" t="s">
        <v>5</v>
      </c>
      <c r="C2" s="2" t="s">
        <v>33</v>
      </c>
      <c r="D2" s="2">
        <v>50000</v>
      </c>
      <c r="E2" s="2">
        <v>2</v>
      </c>
    </row>
    <row r="3" spans="1:5">
      <c r="A3" s="2" t="s">
        <v>6</v>
      </c>
      <c r="B3" s="2" t="s">
        <v>7</v>
      </c>
      <c r="C3" s="2" t="s">
        <v>34</v>
      </c>
      <c r="D3" s="2">
        <v>45000</v>
      </c>
      <c r="E3" s="2">
        <v>3</v>
      </c>
    </row>
    <row r="4" spans="1:5">
      <c r="A4" s="2" t="s">
        <v>8</v>
      </c>
      <c r="B4" s="2" t="s">
        <v>5</v>
      </c>
      <c r="C4" s="2" t="s">
        <v>33</v>
      </c>
      <c r="D4" s="2">
        <v>52000</v>
      </c>
      <c r="E4" s="2">
        <v>4</v>
      </c>
    </row>
    <row r="5" spans="1:5">
      <c r="A5" s="2" t="s">
        <v>9</v>
      </c>
      <c r="B5" s="2" t="s">
        <v>10</v>
      </c>
      <c r="C5" s="2" t="s">
        <v>35</v>
      </c>
      <c r="D5" s="2">
        <v>48000</v>
      </c>
      <c r="E5" s="2">
        <v>2</v>
      </c>
    </row>
    <row r="6" spans="1:5">
      <c r="A6" s="2" t="s">
        <v>11</v>
      </c>
      <c r="B6" s="2" t="s">
        <v>5</v>
      </c>
      <c r="C6" s="2" t="s">
        <v>34</v>
      </c>
      <c r="D6" s="2">
        <v>51000</v>
      </c>
      <c r="E6" s="2">
        <v>5</v>
      </c>
    </row>
    <row r="7" spans="1:5">
      <c r="A7" s="2" t="s">
        <v>13</v>
      </c>
      <c r="B7" s="2" t="s">
        <v>7</v>
      </c>
      <c r="C7" s="2" t="s">
        <v>33</v>
      </c>
      <c r="D7" s="2">
        <v>47000</v>
      </c>
      <c r="E7" s="2">
        <v>6</v>
      </c>
    </row>
    <row r="8" spans="1:5">
      <c r="A8" s="2" t="s">
        <v>14</v>
      </c>
      <c r="B8" s="2" t="s">
        <v>10</v>
      </c>
      <c r="C8" s="2" t="s">
        <v>34</v>
      </c>
      <c r="D8" s="2">
        <v>49000</v>
      </c>
      <c r="E8" s="2">
        <v>3</v>
      </c>
    </row>
    <row r="9" spans="1:5">
      <c r="A9" s="2" t="s">
        <v>15</v>
      </c>
      <c r="B9" s="2" t="s">
        <v>5</v>
      </c>
      <c r="C9" s="2" t="s">
        <v>35</v>
      </c>
      <c r="D9" s="2">
        <v>53000</v>
      </c>
      <c r="E9" s="2">
        <v>4</v>
      </c>
    </row>
    <row r="11" spans="1:5">
      <c r="A11">
        <f>COUNTIFS(B2:B9,"IT",C2:C9,"North")</f>
        <v>2</v>
      </c>
      <c r="B11">
        <f>COUNTIFS(B2:B9,"IT",D2:D9,"&gt;50000")</f>
        <v>3</v>
      </c>
      <c r="C11">
        <f>COUNTIFS(B2:B9,"IT",D2:D9,"&gt;=510000",E2:E9,"&gt;=4")</f>
        <v>0</v>
      </c>
    </row>
    <row r="12" spans="1:5">
      <c r="A12">
        <f>COUNTIFS(B2:B9,"HR",C2:C9,"North")</f>
        <v>1</v>
      </c>
      <c r="B12">
        <f>COUNTIFS(B2:B9,"HR",E2:E9,"&gt;=5")</f>
        <v>1</v>
      </c>
      <c r="C12">
        <f>COUNTIFS(B2:B9,"Marketing", C2:C9,"North")</f>
        <v>0</v>
      </c>
    </row>
    <row r="13" spans="1:5">
      <c r="A13">
        <f>COUNTIFS(B2:B9,"Sales",C2:C9,"South")</f>
        <v>1</v>
      </c>
      <c r="B13">
        <f>COUNTIFS(C2:C9,"South",D2:D9,"&lt;50000")</f>
        <v>2</v>
      </c>
    </row>
    <row r="14" spans="1:5">
      <c r="A14">
        <f>COUNTIFS(B2:B9,"IT",C2:C9,"West")</f>
        <v>1</v>
      </c>
      <c r="B14">
        <f>COUNTIFS(C2:C9,"North",E2:E9,"&gt;=3")</f>
        <v>2</v>
      </c>
    </row>
    <row r="18" spans="1:1">
      <c r="A18">
        <f>COUNTIFS(C2:C9,"North",D2:D9,"&gt;=50000",E2:E9,"&gt;3")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0A31-CC88-41DF-9C70-4D6A2385A2ED}">
  <dimension ref="A1:F20"/>
  <sheetViews>
    <sheetView topLeftCell="A12" workbookViewId="0">
      <selection activeCell="D17" sqref="D17"/>
    </sheetView>
  </sheetViews>
  <sheetFormatPr defaultRowHeight="14.5"/>
  <cols>
    <col min="1" max="1" width="17.36328125" customWidth="1"/>
    <col min="2" max="2" width="17.7265625" customWidth="1"/>
    <col min="3" max="3" width="14.81640625" customWidth="1"/>
    <col min="4" max="4" width="16.26953125" customWidth="1"/>
    <col min="5" max="5" width="15" customWidth="1"/>
  </cols>
  <sheetData>
    <row r="1" spans="1:6" ht="29">
      <c r="A1" s="1" t="s">
        <v>0</v>
      </c>
      <c r="B1" s="1" t="s">
        <v>55</v>
      </c>
      <c r="C1" s="1" t="s">
        <v>32</v>
      </c>
      <c r="D1" s="1" t="s">
        <v>57</v>
      </c>
      <c r="E1" s="1" t="s">
        <v>58</v>
      </c>
    </row>
    <row r="2" spans="1:6">
      <c r="A2" s="2" t="s">
        <v>4</v>
      </c>
      <c r="B2" s="2" t="s">
        <v>5</v>
      </c>
      <c r="C2" s="2" t="s">
        <v>33</v>
      </c>
      <c r="D2" s="2">
        <v>5000</v>
      </c>
      <c r="E2" s="2" t="s">
        <v>59</v>
      </c>
    </row>
    <row r="3" spans="1:6">
      <c r="A3" s="2" t="s">
        <v>6</v>
      </c>
      <c r="B3" s="2" t="s">
        <v>7</v>
      </c>
      <c r="C3" s="2" t="s">
        <v>34</v>
      </c>
      <c r="D3" s="2">
        <v>7000</v>
      </c>
      <c r="E3" s="2" t="s">
        <v>59</v>
      </c>
    </row>
    <row r="4" spans="1:6">
      <c r="A4" s="2" t="s">
        <v>8</v>
      </c>
      <c r="B4" s="2" t="s">
        <v>5</v>
      </c>
      <c r="C4" s="2" t="s">
        <v>33</v>
      </c>
      <c r="D4" s="2">
        <v>8000</v>
      </c>
      <c r="E4" s="2" t="s">
        <v>60</v>
      </c>
    </row>
    <row r="5" spans="1:6">
      <c r="A5" s="2" t="s">
        <v>9</v>
      </c>
      <c r="B5" s="2" t="s">
        <v>10</v>
      </c>
      <c r="C5" s="2" t="s">
        <v>35</v>
      </c>
      <c r="D5" s="2">
        <v>6000</v>
      </c>
      <c r="E5" s="2" t="s">
        <v>59</v>
      </c>
    </row>
    <row r="6" spans="1:6">
      <c r="A6" s="2" t="s">
        <v>11</v>
      </c>
      <c r="B6" s="2" t="s">
        <v>5</v>
      </c>
      <c r="C6" s="2" t="s">
        <v>34</v>
      </c>
      <c r="D6" s="2">
        <v>9000</v>
      </c>
      <c r="E6" s="2" t="s">
        <v>60</v>
      </c>
    </row>
    <row r="7" spans="1:6">
      <c r="A7" s="2" t="s">
        <v>13</v>
      </c>
      <c r="B7" s="2" t="s">
        <v>7</v>
      </c>
      <c r="C7" s="2" t="s">
        <v>33</v>
      </c>
      <c r="D7" s="2">
        <v>4000</v>
      </c>
      <c r="E7" s="2" t="s">
        <v>60</v>
      </c>
    </row>
    <row r="8" spans="1:6">
      <c r="A8" s="2" t="s">
        <v>14</v>
      </c>
      <c r="B8" s="2" t="s">
        <v>10</v>
      </c>
      <c r="C8" s="2" t="s">
        <v>34</v>
      </c>
      <c r="D8" s="2">
        <v>7500</v>
      </c>
      <c r="E8" s="2" t="s">
        <v>59</v>
      </c>
    </row>
    <row r="9" spans="1:6">
      <c r="A9" s="2" t="s">
        <v>15</v>
      </c>
      <c r="B9" s="2" t="s">
        <v>5</v>
      </c>
      <c r="C9" s="2" t="s">
        <v>35</v>
      </c>
      <c r="D9" s="2">
        <v>6500</v>
      </c>
      <c r="E9" s="2" t="s">
        <v>59</v>
      </c>
    </row>
    <row r="10" spans="1:6">
      <c r="A10" s="2" t="s">
        <v>61</v>
      </c>
      <c r="B10" s="2" t="s">
        <v>10</v>
      </c>
      <c r="C10" s="2" t="s">
        <v>33</v>
      </c>
      <c r="D10" s="2">
        <v>7200</v>
      </c>
      <c r="E10" s="2" t="s">
        <v>60</v>
      </c>
    </row>
    <row r="11" spans="1:6">
      <c r="A11" s="2" t="s">
        <v>62</v>
      </c>
      <c r="B11" s="2" t="s">
        <v>7</v>
      </c>
      <c r="C11" s="2" t="s">
        <v>35</v>
      </c>
      <c r="D11" s="2" t="s">
        <v>12</v>
      </c>
      <c r="E11" s="2" t="s">
        <v>59</v>
      </c>
    </row>
    <row r="14" spans="1:6" ht="29">
      <c r="A14" t="s">
        <v>63</v>
      </c>
      <c r="B14" s="2" t="s">
        <v>64</v>
      </c>
      <c r="C14" s="2" t="s">
        <v>65</v>
      </c>
      <c r="D14" t="s">
        <v>66</v>
      </c>
      <c r="E14" s="2" t="s">
        <v>67</v>
      </c>
    </row>
    <row r="15" spans="1:6">
      <c r="A15">
        <f>COUNT(D2:D11)</f>
        <v>9</v>
      </c>
      <c r="B15">
        <f>COUNTIF(B2:B11,"IT")</f>
        <v>4</v>
      </c>
      <c r="C15">
        <f>SUM(D2:D11)</f>
        <v>60200</v>
      </c>
      <c r="D15">
        <f>SUMIF(B2:B11,"IT",D2:D11)</f>
        <v>28500</v>
      </c>
      <c r="E15">
        <f>COUNT(A2:A11)</f>
        <v>0</v>
      </c>
      <c r="F15">
        <f>SUM(B2:B11)</f>
        <v>0</v>
      </c>
    </row>
    <row r="16" spans="1:6">
      <c r="A16">
        <f>COUNT(A2:A11)</f>
        <v>0</v>
      </c>
      <c r="B16">
        <f>COUNTIF(C2:C11,"South")</f>
        <v>3</v>
      </c>
      <c r="C16">
        <f>SUM(D3:D6)</f>
        <v>30000</v>
      </c>
      <c r="D16">
        <f>SUMIF(C2:C11,"South",D2:D11)</f>
        <v>23500</v>
      </c>
    </row>
    <row r="17" spans="1:4">
      <c r="A17">
        <f>COUNT(A2:A11)</f>
        <v>0</v>
      </c>
      <c r="B17">
        <f>COUNTIF(D2:D11,"&gt;7000")</f>
        <v>4</v>
      </c>
      <c r="D17">
        <f>SUMIF(E2:E11,"Jan",D2:D11)</f>
        <v>32000</v>
      </c>
    </row>
    <row r="18" spans="1:4">
      <c r="B18">
        <f>COUNTIF(E2:E11,"Jan")</f>
        <v>6</v>
      </c>
    </row>
    <row r="20" spans="1:4">
      <c r="D20">
        <f>SUMIF(D2:D11,"&gt;=6000")</f>
        <v>51200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Pratice sheet</vt:lpstr>
      <vt:lpstr>SUM PRTATICE SHEET</vt:lpstr>
      <vt:lpstr>CountIF pratice sheet</vt:lpstr>
      <vt:lpstr>Countifs Pratice Sheet</vt:lpstr>
      <vt:lpstr>Combination of everything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METRI</dc:creator>
  <cp:lastModifiedBy>AMUL METRI</cp:lastModifiedBy>
  <dcterms:created xsi:type="dcterms:W3CDTF">2026-02-19T08:06:02Z</dcterms:created>
  <dcterms:modified xsi:type="dcterms:W3CDTF">2026-02-19T10:51:28Z</dcterms:modified>
</cp:coreProperties>
</file>